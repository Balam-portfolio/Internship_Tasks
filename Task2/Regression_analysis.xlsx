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ITISHA\Downloads\"/>
    </mc:Choice>
  </mc:AlternateContent>
  <xr:revisionPtr revIDLastSave="0" documentId="13_ncr:1_{77C4C748-9131-408B-8BB5-BA01B0C869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gression_analysis" sheetId="1" r:id="rId1"/>
    <sheet name="Summary_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7" i="1" l="1"/>
  <c r="F25" i="1" a="1"/>
  <c r="F25" i="1" s="1"/>
  <c r="F24" i="1"/>
  <c r="F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<sst xmlns="http://schemas.openxmlformats.org/spreadsheetml/2006/main" count="41" uniqueCount="39">
  <si>
    <t>Total Advertising ($)</t>
  </si>
  <si>
    <t>Sales Revenue ($)</t>
  </si>
  <si>
    <t>slope</t>
  </si>
  <si>
    <t>intercept</t>
  </si>
  <si>
    <t>r squared</t>
  </si>
  <si>
    <t xml:space="preserve">linest </t>
  </si>
  <si>
    <t>enter advertisement cost</t>
  </si>
  <si>
    <t>forecast sales 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</si>
  <si>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</si>
  <si>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</si>
  <si>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</si>
  <si>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</si>
  <si>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</si>
  <si>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</si>
  <si>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</si>
  <si>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</si>
  <si>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</si>
  <si>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</si>
  <si>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</si>
  <si>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</si>
  <si>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</si>
  <si>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</si>
  <si>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</si>
  <si>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</si>
  <si>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</si>
  <si>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</si>
  <si>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</si>
  <si>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</si>
  <si>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</si>
  <si>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</si>
  <si>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</si>
  <si>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</si>
  <si>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ANALYSIS</t>
  </si>
  <si>
    <t xml:space="preserve">MANUAL CALCULATION USING FUNCTIONS </t>
  </si>
  <si>
    <t>SLOPE()</t>
  </si>
  <si>
    <t>INTERCEPT()</t>
  </si>
  <si>
    <t>LINEST()</t>
  </si>
  <si>
    <t>RSQ()</t>
  </si>
  <si>
    <t>FORECAST.LINEAR()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</si>
</sst>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mbria"/>
      <family val="1"/>
    </font>
    <font>
      <sz val="10"/>
      <color theme="1"/>
      <name val="Cambria"/>
      <family val="1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3" borderId="1" xfId="0" applyFont="1" applyFill="1" applyBorder="1" applyAlignment="1">
      <alignment horizontal="centerContinuous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0" fillId="3" borderId="0" xfId="0" applyFill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9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 Revenue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Regression_analysis!$B$4</c:f>
              <c:strCache>
                <c:ptCount val="1"/>
                <c:pt idx="0">
                  <c:v>Sales Revenue ($)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  <a:headEnd type="diamond"/>
                <a:tailEnd type="stealt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75389915202906E-2"/>
                  <c:y val="0.230810731991834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y = 3.2061x + 16119</a:t>
                    </a:r>
                    <a:br>
                      <a:rPr lang="en-US" baseline="0">
                        <a:solidFill>
                          <a:schemeClr val="tx1"/>
                        </a:solidFill>
                      </a:rPr>
                    </a:br>
                    <a:r>
                      <a:rPr lang="en-US" baseline="0">
                        <a:solidFill>
                          <a:schemeClr val="tx1"/>
                        </a:solidFill>
                      </a:rPr>
                      <a:t>R² = 0.8755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Regression_analysis!$A$5:$A$124</c:f>
              <c:numCache>
                <c:formatCode>General</c:formatCode>
                <c:ptCount val="120"/>
                <c:pt idx="0">
                  <c:v>6477</c:v>
                </c:pt>
                <c:pt idx="1">
                  <c:v>9999</c:v>
                </c:pt>
                <c:pt idx="2">
                  <c:v>13300</c:v>
                </c:pt>
                <c:pt idx="3">
                  <c:v>7369</c:v>
                </c:pt>
                <c:pt idx="4">
                  <c:v>12224</c:v>
                </c:pt>
                <c:pt idx="5">
                  <c:v>6640</c:v>
                </c:pt>
                <c:pt idx="6">
                  <c:v>17138</c:v>
                </c:pt>
                <c:pt idx="7">
                  <c:v>9136</c:v>
                </c:pt>
                <c:pt idx="8">
                  <c:v>5073</c:v>
                </c:pt>
                <c:pt idx="9">
                  <c:v>5902</c:v>
                </c:pt>
                <c:pt idx="10">
                  <c:v>13189</c:v>
                </c:pt>
                <c:pt idx="11">
                  <c:v>13812</c:v>
                </c:pt>
                <c:pt idx="12">
                  <c:v>13868</c:v>
                </c:pt>
                <c:pt idx="13">
                  <c:v>12798</c:v>
                </c:pt>
                <c:pt idx="14">
                  <c:v>10759</c:v>
                </c:pt>
                <c:pt idx="15">
                  <c:v>16793</c:v>
                </c:pt>
                <c:pt idx="16">
                  <c:v>17029</c:v>
                </c:pt>
                <c:pt idx="17">
                  <c:v>12734</c:v>
                </c:pt>
                <c:pt idx="18">
                  <c:v>8218</c:v>
                </c:pt>
                <c:pt idx="19">
                  <c:v>17667</c:v>
                </c:pt>
                <c:pt idx="20">
                  <c:v>9016</c:v>
                </c:pt>
                <c:pt idx="21">
                  <c:v>10265</c:v>
                </c:pt>
                <c:pt idx="22">
                  <c:v>14559</c:v>
                </c:pt>
                <c:pt idx="23">
                  <c:v>7582</c:v>
                </c:pt>
                <c:pt idx="24">
                  <c:v>13341</c:v>
                </c:pt>
                <c:pt idx="25">
                  <c:v>10879</c:v>
                </c:pt>
                <c:pt idx="26">
                  <c:v>12533</c:v>
                </c:pt>
                <c:pt idx="27">
                  <c:v>11692</c:v>
                </c:pt>
                <c:pt idx="28">
                  <c:v>8410</c:v>
                </c:pt>
                <c:pt idx="29">
                  <c:v>10559</c:v>
                </c:pt>
                <c:pt idx="30">
                  <c:v>9132</c:v>
                </c:pt>
                <c:pt idx="31">
                  <c:v>11288</c:v>
                </c:pt>
                <c:pt idx="32">
                  <c:v>17474</c:v>
                </c:pt>
                <c:pt idx="33">
                  <c:v>6920</c:v>
                </c:pt>
                <c:pt idx="34">
                  <c:v>13484</c:v>
                </c:pt>
                <c:pt idx="35">
                  <c:v>7762</c:v>
                </c:pt>
                <c:pt idx="36">
                  <c:v>9431</c:v>
                </c:pt>
                <c:pt idx="37">
                  <c:v>7454</c:v>
                </c:pt>
                <c:pt idx="38">
                  <c:v>9741</c:v>
                </c:pt>
                <c:pt idx="39">
                  <c:v>9164</c:v>
                </c:pt>
                <c:pt idx="40">
                  <c:v>14435</c:v>
                </c:pt>
                <c:pt idx="41">
                  <c:v>11519</c:v>
                </c:pt>
                <c:pt idx="42">
                  <c:v>13829</c:v>
                </c:pt>
                <c:pt idx="43">
                  <c:v>12329</c:v>
                </c:pt>
                <c:pt idx="44">
                  <c:v>16549</c:v>
                </c:pt>
                <c:pt idx="45">
                  <c:v>9745</c:v>
                </c:pt>
                <c:pt idx="46">
                  <c:v>11293</c:v>
                </c:pt>
                <c:pt idx="47">
                  <c:v>16481</c:v>
                </c:pt>
                <c:pt idx="48">
                  <c:v>6984</c:v>
                </c:pt>
                <c:pt idx="49">
                  <c:v>13071</c:v>
                </c:pt>
                <c:pt idx="50">
                  <c:v>12742</c:v>
                </c:pt>
                <c:pt idx="51">
                  <c:v>10401</c:v>
                </c:pt>
                <c:pt idx="52">
                  <c:v>12837</c:v>
                </c:pt>
                <c:pt idx="53">
                  <c:v>10689</c:v>
                </c:pt>
                <c:pt idx="54">
                  <c:v>11404</c:v>
                </c:pt>
                <c:pt idx="55">
                  <c:v>10869</c:v>
                </c:pt>
                <c:pt idx="56">
                  <c:v>14483</c:v>
                </c:pt>
                <c:pt idx="57">
                  <c:v>8281</c:v>
                </c:pt>
                <c:pt idx="58">
                  <c:v>12377</c:v>
                </c:pt>
                <c:pt idx="59">
                  <c:v>9599</c:v>
                </c:pt>
                <c:pt idx="60">
                  <c:v>10411</c:v>
                </c:pt>
                <c:pt idx="61">
                  <c:v>13038</c:v>
                </c:pt>
                <c:pt idx="62">
                  <c:v>16043</c:v>
                </c:pt>
                <c:pt idx="63">
                  <c:v>13977</c:v>
                </c:pt>
                <c:pt idx="64">
                  <c:v>12329</c:v>
                </c:pt>
                <c:pt idx="65">
                  <c:v>12020</c:v>
                </c:pt>
                <c:pt idx="66">
                  <c:v>14607</c:v>
                </c:pt>
                <c:pt idx="67">
                  <c:v>18278</c:v>
                </c:pt>
                <c:pt idx="68">
                  <c:v>11603</c:v>
                </c:pt>
                <c:pt idx="69">
                  <c:v>11710</c:v>
                </c:pt>
                <c:pt idx="70">
                  <c:v>9909</c:v>
                </c:pt>
                <c:pt idx="71">
                  <c:v>11246</c:v>
                </c:pt>
                <c:pt idx="72">
                  <c:v>10590</c:v>
                </c:pt>
                <c:pt idx="73">
                  <c:v>11760</c:v>
                </c:pt>
                <c:pt idx="74">
                  <c:v>16635</c:v>
                </c:pt>
                <c:pt idx="75">
                  <c:v>6991</c:v>
                </c:pt>
                <c:pt idx="76">
                  <c:v>13897</c:v>
                </c:pt>
                <c:pt idx="77">
                  <c:v>14563</c:v>
                </c:pt>
                <c:pt idx="78">
                  <c:v>9566</c:v>
                </c:pt>
                <c:pt idx="79">
                  <c:v>11850</c:v>
                </c:pt>
                <c:pt idx="80">
                  <c:v>11581</c:v>
                </c:pt>
                <c:pt idx="81">
                  <c:v>11181</c:v>
                </c:pt>
                <c:pt idx="82">
                  <c:v>13440</c:v>
                </c:pt>
                <c:pt idx="83">
                  <c:v>12467</c:v>
                </c:pt>
                <c:pt idx="84">
                  <c:v>9874</c:v>
                </c:pt>
                <c:pt idx="85">
                  <c:v>12545</c:v>
                </c:pt>
                <c:pt idx="86">
                  <c:v>9921</c:v>
                </c:pt>
                <c:pt idx="87">
                  <c:v>10102</c:v>
                </c:pt>
                <c:pt idx="88">
                  <c:v>12738</c:v>
                </c:pt>
                <c:pt idx="89">
                  <c:v>18966</c:v>
                </c:pt>
                <c:pt idx="90">
                  <c:v>14090</c:v>
                </c:pt>
                <c:pt idx="91">
                  <c:v>13576</c:v>
                </c:pt>
                <c:pt idx="92">
                  <c:v>13882</c:v>
                </c:pt>
                <c:pt idx="93">
                  <c:v>11577</c:v>
                </c:pt>
                <c:pt idx="94">
                  <c:v>10613</c:v>
                </c:pt>
                <c:pt idx="95">
                  <c:v>6607</c:v>
                </c:pt>
                <c:pt idx="96">
                  <c:v>12649</c:v>
                </c:pt>
                <c:pt idx="97">
                  <c:v>11988</c:v>
                </c:pt>
                <c:pt idx="98">
                  <c:v>10513</c:v>
                </c:pt>
                <c:pt idx="99">
                  <c:v>13873</c:v>
                </c:pt>
                <c:pt idx="100">
                  <c:v>13845</c:v>
                </c:pt>
                <c:pt idx="101">
                  <c:v>13583</c:v>
                </c:pt>
                <c:pt idx="102">
                  <c:v>7234</c:v>
                </c:pt>
                <c:pt idx="103">
                  <c:v>15428</c:v>
                </c:pt>
                <c:pt idx="104">
                  <c:v>9351</c:v>
                </c:pt>
                <c:pt idx="105">
                  <c:v>13836</c:v>
                </c:pt>
                <c:pt idx="106">
                  <c:v>7507</c:v>
                </c:pt>
                <c:pt idx="107">
                  <c:v>11350</c:v>
                </c:pt>
                <c:pt idx="108">
                  <c:v>13752</c:v>
                </c:pt>
                <c:pt idx="109">
                  <c:v>8854</c:v>
                </c:pt>
                <c:pt idx="110">
                  <c:v>12372</c:v>
                </c:pt>
                <c:pt idx="111">
                  <c:v>9485</c:v>
                </c:pt>
                <c:pt idx="112">
                  <c:v>9564</c:v>
                </c:pt>
                <c:pt idx="113">
                  <c:v>13099</c:v>
                </c:pt>
                <c:pt idx="114">
                  <c:v>10803</c:v>
                </c:pt>
                <c:pt idx="115">
                  <c:v>12064</c:v>
                </c:pt>
                <c:pt idx="116">
                  <c:v>8375</c:v>
                </c:pt>
                <c:pt idx="117">
                  <c:v>11531</c:v>
                </c:pt>
                <c:pt idx="118">
                  <c:v>7415</c:v>
                </c:pt>
                <c:pt idx="119">
                  <c:v>9984</c:v>
                </c:pt>
              </c:numCache>
            </c:numRef>
          </c:xVal>
          <c:yVal>
            <c:numRef>
              <c:f>Regression_analysis!$B$5:$B$124</c:f>
              <c:numCache>
                <c:formatCode>0</c:formatCode>
                <c:ptCount val="120"/>
                <c:pt idx="0">
                  <c:v>40393.1</c:v>
                </c:pt>
                <c:pt idx="1">
                  <c:v>41436.1</c:v>
                </c:pt>
                <c:pt idx="2">
                  <c:v>57611.6</c:v>
                </c:pt>
                <c:pt idx="3">
                  <c:v>39700</c:v>
                </c:pt>
                <c:pt idx="4">
                  <c:v>54149.5</c:v>
                </c:pt>
                <c:pt idx="5">
                  <c:v>34393.9</c:v>
                </c:pt>
                <c:pt idx="6">
                  <c:v>67908.5</c:v>
                </c:pt>
                <c:pt idx="7">
                  <c:v>44816.2</c:v>
                </c:pt>
                <c:pt idx="8">
                  <c:v>32375.200000000001</c:v>
                </c:pt>
                <c:pt idx="9">
                  <c:v>38500.9</c:v>
                </c:pt>
                <c:pt idx="10">
                  <c:v>62243.3</c:v>
                </c:pt>
                <c:pt idx="11">
                  <c:v>60133.3</c:v>
                </c:pt>
                <c:pt idx="12">
                  <c:v>60194.9</c:v>
                </c:pt>
                <c:pt idx="13">
                  <c:v>58004.4</c:v>
                </c:pt>
                <c:pt idx="14">
                  <c:v>55571.1</c:v>
                </c:pt>
                <c:pt idx="15">
                  <c:v>74400.5</c:v>
                </c:pt>
                <c:pt idx="16">
                  <c:v>70617.3</c:v>
                </c:pt>
                <c:pt idx="17">
                  <c:v>60751.8</c:v>
                </c:pt>
                <c:pt idx="18">
                  <c:v>36431.800000000003</c:v>
                </c:pt>
                <c:pt idx="19">
                  <c:v>71242.899999999994</c:v>
                </c:pt>
                <c:pt idx="20">
                  <c:v>49255.9</c:v>
                </c:pt>
                <c:pt idx="21">
                  <c:v>50368.5</c:v>
                </c:pt>
                <c:pt idx="22">
                  <c:v>60098</c:v>
                </c:pt>
                <c:pt idx="23">
                  <c:v>35395.4</c:v>
                </c:pt>
                <c:pt idx="24">
                  <c:v>63570.6</c:v>
                </c:pt>
                <c:pt idx="25">
                  <c:v>52900.4</c:v>
                </c:pt>
                <c:pt idx="26">
                  <c:v>56304.2</c:v>
                </c:pt>
                <c:pt idx="27">
                  <c:v>56354.3</c:v>
                </c:pt>
                <c:pt idx="28">
                  <c:v>44741.7</c:v>
                </c:pt>
                <c:pt idx="29">
                  <c:v>47417.9</c:v>
                </c:pt>
                <c:pt idx="30">
                  <c:v>41407.4</c:v>
                </c:pt>
                <c:pt idx="31">
                  <c:v>49634.9</c:v>
                </c:pt>
                <c:pt idx="32">
                  <c:v>73662.100000000006</c:v>
                </c:pt>
                <c:pt idx="33">
                  <c:v>32864.699999999997</c:v>
                </c:pt>
                <c:pt idx="34">
                  <c:v>54120.4</c:v>
                </c:pt>
                <c:pt idx="35">
                  <c:v>46691.4</c:v>
                </c:pt>
                <c:pt idx="36">
                  <c:v>48033.8</c:v>
                </c:pt>
                <c:pt idx="37">
                  <c:v>43131.3</c:v>
                </c:pt>
                <c:pt idx="38">
                  <c:v>48215.5</c:v>
                </c:pt>
                <c:pt idx="39">
                  <c:v>42688.2</c:v>
                </c:pt>
                <c:pt idx="40">
                  <c:v>63253.1</c:v>
                </c:pt>
                <c:pt idx="41">
                  <c:v>47459.7</c:v>
                </c:pt>
                <c:pt idx="42">
                  <c:v>63661.9</c:v>
                </c:pt>
                <c:pt idx="43">
                  <c:v>53255.4</c:v>
                </c:pt>
                <c:pt idx="44">
                  <c:v>69571</c:v>
                </c:pt>
                <c:pt idx="45">
                  <c:v>47833.3</c:v>
                </c:pt>
                <c:pt idx="46">
                  <c:v>49716.2</c:v>
                </c:pt>
                <c:pt idx="47">
                  <c:v>71520.600000000006</c:v>
                </c:pt>
                <c:pt idx="48">
                  <c:v>33577.199999999997</c:v>
                </c:pt>
                <c:pt idx="49">
                  <c:v>57812.7</c:v>
                </c:pt>
                <c:pt idx="50">
                  <c:v>49419.199999999997</c:v>
                </c:pt>
                <c:pt idx="51">
                  <c:v>52520.1</c:v>
                </c:pt>
                <c:pt idx="52">
                  <c:v>59543.199999999997</c:v>
                </c:pt>
                <c:pt idx="53">
                  <c:v>51687.9</c:v>
                </c:pt>
                <c:pt idx="54">
                  <c:v>48682</c:v>
                </c:pt>
                <c:pt idx="55">
                  <c:v>49776.6</c:v>
                </c:pt>
                <c:pt idx="56">
                  <c:v>66500.899999999994</c:v>
                </c:pt>
                <c:pt idx="57">
                  <c:v>41984.5</c:v>
                </c:pt>
                <c:pt idx="58">
                  <c:v>49546.7</c:v>
                </c:pt>
                <c:pt idx="59">
                  <c:v>44517.599999999999</c:v>
                </c:pt>
                <c:pt idx="60">
                  <c:v>45073.3</c:v>
                </c:pt>
                <c:pt idx="61">
                  <c:v>53535.6</c:v>
                </c:pt>
                <c:pt idx="62">
                  <c:v>73208.3</c:v>
                </c:pt>
                <c:pt idx="63">
                  <c:v>54033.4</c:v>
                </c:pt>
                <c:pt idx="64">
                  <c:v>54734.7</c:v>
                </c:pt>
                <c:pt idx="65">
                  <c:v>55412.800000000003</c:v>
                </c:pt>
                <c:pt idx="66">
                  <c:v>58804.4</c:v>
                </c:pt>
                <c:pt idx="67">
                  <c:v>76936.5</c:v>
                </c:pt>
                <c:pt idx="68">
                  <c:v>50415.199999999997</c:v>
                </c:pt>
                <c:pt idx="69">
                  <c:v>55572.2</c:v>
                </c:pt>
                <c:pt idx="70">
                  <c:v>51507.9</c:v>
                </c:pt>
                <c:pt idx="71">
                  <c:v>47797.8</c:v>
                </c:pt>
                <c:pt idx="72">
                  <c:v>49907.3</c:v>
                </c:pt>
                <c:pt idx="73">
                  <c:v>52281.7</c:v>
                </c:pt>
                <c:pt idx="74">
                  <c:v>71272.2</c:v>
                </c:pt>
                <c:pt idx="75">
                  <c:v>39417.699999999997</c:v>
                </c:pt>
                <c:pt idx="76">
                  <c:v>56729.2</c:v>
                </c:pt>
                <c:pt idx="77">
                  <c:v>71266.600000000006</c:v>
                </c:pt>
                <c:pt idx="78">
                  <c:v>51816.5</c:v>
                </c:pt>
                <c:pt idx="79">
                  <c:v>58224.7</c:v>
                </c:pt>
                <c:pt idx="80">
                  <c:v>56067.9</c:v>
                </c:pt>
                <c:pt idx="81">
                  <c:v>52815</c:v>
                </c:pt>
                <c:pt idx="82">
                  <c:v>60315</c:v>
                </c:pt>
                <c:pt idx="83">
                  <c:v>57183.199999999997</c:v>
                </c:pt>
                <c:pt idx="84">
                  <c:v>48129.1</c:v>
                </c:pt>
                <c:pt idx="85">
                  <c:v>61308.5</c:v>
                </c:pt>
                <c:pt idx="86">
                  <c:v>43208.1</c:v>
                </c:pt>
                <c:pt idx="87">
                  <c:v>54520.7</c:v>
                </c:pt>
                <c:pt idx="88">
                  <c:v>62161.9</c:v>
                </c:pt>
                <c:pt idx="89">
                  <c:v>74620.800000000003</c:v>
                </c:pt>
                <c:pt idx="90">
                  <c:v>64427.6</c:v>
                </c:pt>
                <c:pt idx="91">
                  <c:v>57761.8</c:v>
                </c:pt>
                <c:pt idx="92">
                  <c:v>60852.5</c:v>
                </c:pt>
                <c:pt idx="93">
                  <c:v>49000.2</c:v>
                </c:pt>
                <c:pt idx="94">
                  <c:v>49002.3</c:v>
                </c:pt>
                <c:pt idx="95">
                  <c:v>42548.800000000003</c:v>
                </c:pt>
                <c:pt idx="96">
                  <c:v>50826.8</c:v>
                </c:pt>
                <c:pt idx="97">
                  <c:v>52236.2</c:v>
                </c:pt>
                <c:pt idx="98">
                  <c:v>48006.400000000001</c:v>
                </c:pt>
                <c:pt idx="99">
                  <c:v>58740.7</c:v>
                </c:pt>
                <c:pt idx="100">
                  <c:v>57484.2</c:v>
                </c:pt>
                <c:pt idx="101">
                  <c:v>62611.7</c:v>
                </c:pt>
                <c:pt idx="102">
                  <c:v>40694.6</c:v>
                </c:pt>
                <c:pt idx="103">
                  <c:v>66402.3</c:v>
                </c:pt>
                <c:pt idx="104">
                  <c:v>45284.5</c:v>
                </c:pt>
                <c:pt idx="105">
                  <c:v>59151.9</c:v>
                </c:pt>
                <c:pt idx="106">
                  <c:v>44394</c:v>
                </c:pt>
                <c:pt idx="107">
                  <c:v>59542.3</c:v>
                </c:pt>
                <c:pt idx="108">
                  <c:v>55596.1</c:v>
                </c:pt>
                <c:pt idx="109">
                  <c:v>44026.7</c:v>
                </c:pt>
                <c:pt idx="110">
                  <c:v>58392.1</c:v>
                </c:pt>
                <c:pt idx="111">
                  <c:v>44702.7</c:v>
                </c:pt>
                <c:pt idx="112">
                  <c:v>49529.599999999999</c:v>
                </c:pt>
                <c:pt idx="113">
                  <c:v>58139.1</c:v>
                </c:pt>
                <c:pt idx="114">
                  <c:v>52775.199999999997</c:v>
                </c:pt>
                <c:pt idx="115">
                  <c:v>57155.3</c:v>
                </c:pt>
                <c:pt idx="116">
                  <c:v>44113.5</c:v>
                </c:pt>
                <c:pt idx="117">
                  <c:v>46691.3</c:v>
                </c:pt>
                <c:pt idx="118">
                  <c:v>40566.199999999997</c:v>
                </c:pt>
                <c:pt idx="119">
                  <c:v>53033.599999999999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A-4DE3-B0DA-A7BA47E0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81712"/>
        <c:axId val="197785072"/>
      </c:scatterChart>
      <c:valAx>
        <c:axId val="19778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  <a:r>
                  <a:rPr lang="en-IN" b="1" baseline="0"/>
                  <a:t> Revenue($)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5072"/>
        <c:crosses val="autoZero"/>
        <c:crossBetween val="midCat"/>
      </c:valAx>
      <c:valAx>
        <c:axId val="1977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Advertisement</a:t>
                </a:r>
                <a:r>
                  <a:rPr lang="en-IN" b="1" baseline="0"/>
                  <a:t> ($)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3</xdr:row>
      <xdr:rowOff>0</xdr:rowOff>
    </xdr:from>
    <xdr:to>
      <xdr:col>7</xdr:col>
      <xdr:colOff>403860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2B47E-DD41-6BCC-84C5-E58D5D16E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C560B-1D70-4E39-AF62-427222A1EA9C}" name="Table1" displayName="Table1" ref="A4:B124" totalsRowShown="0" headerRowDxfId="1">
  <autoFilter ref="A4:B124" xr:uid="{19FC560B-1D70-4E39-AF62-427222A1EA9C}"/>
  <tableColumns count="2">
    <tableColumn id="1" xr3:uid="{7F834BAF-8C8F-4334-96F9-E1D1F674BCD2}" name="Total Advertising ($)"/>
    <tableColumn id="2" xr3:uid="{481CF64B-1CE5-4EFF-AF2A-228752050DD5}" name="Sales Revenue ($)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showGridLines="0" tabSelected="1" zoomScale="105" workbookViewId="0">
      <selection activeCell="I20" sqref="I20"/>
    </sheetView>
  </sheetViews>
  <sheetFormatPr defaultRowHeight="14.4" x14ac:dyDescent="0.3"/>
  <cols>
    <col min="1" max="1" width="19.77734375" customWidth="1"/>
    <col min="2" max="3" width="17.6640625" customWidth="1"/>
    <col min="4" max="4" width="17.33203125" bestFit="1" customWidth="1"/>
    <col min="5" max="5" width="21.6640625" bestFit="1" customWidth="1"/>
    <col min="6" max="6" width="18.109375" bestFit="1" customWidth="1"/>
    <col min="7" max="7" width="15.88671875" bestFit="1" customWidth="1"/>
  </cols>
  <sheetData>
    <row r="1" spans="1:5" ht="25.8" x14ac:dyDescent="0.5">
      <c r="A1" s="8" t="s">
        <v>32</v>
      </c>
      <c r="B1" s="8"/>
      <c r="C1" s="8"/>
      <c r="D1" s="8"/>
    </row>
    <row r="2" spans="1:5" ht="14.4" customHeight="1" x14ac:dyDescent="0.3">
      <c r="A2" s="10"/>
      <c r="B2" s="11"/>
      <c r="C2" s="11"/>
      <c r="D2" s="11"/>
      <c r="E2" s="11"/>
    </row>
    <row r="4" spans="1:5" x14ac:dyDescent="0.3">
      <c r="A4" s="1" t="s">
        <v>0</v>
      </c>
      <c r="B4" s="1" t="s">
        <v>1</v>
      </c>
      <c r="C4" s="1"/>
      <c r="D4" s="1"/>
      <c r="E4" s="1"/>
    </row>
    <row r="5" spans="1:5" x14ac:dyDescent="0.3">
      <c r="A5">
        <v>6477</v>
      </c>
      <c r="B5" s="2">
        <v>40393.1</v>
      </c>
      <c r="C5" s="2"/>
    </row>
    <row r="6" spans="1:5" x14ac:dyDescent="0.3">
      <c r="A6">
        <v>9999</v>
      </c>
      <c r="B6" s="2">
        <v>41436.1</v>
      </c>
      <c r="C6" s="2"/>
    </row>
    <row r="7" spans="1:5" x14ac:dyDescent="0.3">
      <c r="A7">
        <v>13300</v>
      </c>
      <c r="B7" s="2">
        <v>57611.6</v>
      </c>
      <c r="C7" s="2"/>
    </row>
    <row r="8" spans="1:5" x14ac:dyDescent="0.3">
      <c r="A8">
        <v>7369</v>
      </c>
      <c r="B8" s="2">
        <v>39700</v>
      </c>
      <c r="C8" s="2"/>
    </row>
    <row r="9" spans="1:5" x14ac:dyDescent="0.3">
      <c r="A9">
        <v>12224</v>
      </c>
      <c r="B9" s="2">
        <v>54149.5</v>
      </c>
      <c r="C9" s="2"/>
    </row>
    <row r="10" spans="1:5" x14ac:dyDescent="0.3">
      <c r="A10">
        <v>6640</v>
      </c>
      <c r="B10" s="2">
        <v>34393.9</v>
      </c>
      <c r="C10" s="2"/>
    </row>
    <row r="11" spans="1:5" x14ac:dyDescent="0.3">
      <c r="A11">
        <v>17138</v>
      </c>
      <c r="B11" s="2">
        <v>67908.5</v>
      </c>
      <c r="C11" s="2"/>
    </row>
    <row r="12" spans="1:5" x14ac:dyDescent="0.3">
      <c r="A12">
        <v>9136</v>
      </c>
      <c r="B12" s="2">
        <v>44816.2</v>
      </c>
      <c r="C12" s="2"/>
    </row>
    <row r="13" spans="1:5" x14ac:dyDescent="0.3">
      <c r="A13">
        <v>5073</v>
      </c>
      <c r="B13" s="2">
        <v>32375.200000000001</v>
      </c>
      <c r="C13" s="2"/>
    </row>
    <row r="14" spans="1:5" x14ac:dyDescent="0.3">
      <c r="A14">
        <v>5902</v>
      </c>
      <c r="B14" s="2">
        <v>38500.9</v>
      </c>
      <c r="C14" s="2"/>
    </row>
    <row r="15" spans="1:5" x14ac:dyDescent="0.3">
      <c r="A15">
        <v>13189</v>
      </c>
      <c r="B15" s="2">
        <v>62243.3</v>
      </c>
      <c r="C15" s="2"/>
    </row>
    <row r="16" spans="1:5" x14ac:dyDescent="0.3">
      <c r="A16">
        <v>13812</v>
      </c>
      <c r="B16" s="2">
        <v>60133.3</v>
      </c>
      <c r="C16" s="2"/>
    </row>
    <row r="17" spans="1:7" x14ac:dyDescent="0.3">
      <c r="A17">
        <v>13868</v>
      </c>
      <c r="B17" s="2">
        <v>60194.9</v>
      </c>
      <c r="C17" s="2"/>
    </row>
    <row r="18" spans="1:7" x14ac:dyDescent="0.3">
      <c r="A18">
        <v>12798</v>
      </c>
      <c r="B18" s="2">
        <v>58004.4</v>
      </c>
      <c r="C18" s="2"/>
    </row>
    <row r="19" spans="1:7" x14ac:dyDescent="0.3">
      <c r="A19">
        <v>10759</v>
      </c>
      <c r="B19" s="2">
        <v>55571.1</v>
      </c>
      <c r="C19" s="2"/>
    </row>
    <row r="20" spans="1:7" x14ac:dyDescent="0.3">
      <c r="A20">
        <v>16793</v>
      </c>
      <c r="B20" s="2">
        <v>74400.5</v>
      </c>
      <c r="C20" s="2"/>
      <c r="D20" s="16" t="s">
        <v>33</v>
      </c>
      <c r="E20" s="12"/>
      <c r="F20" s="12"/>
      <c r="G20" s="12"/>
    </row>
    <row r="21" spans="1:7" x14ac:dyDescent="0.3">
      <c r="A21">
        <v>17029</v>
      </c>
      <c r="B21" s="2">
        <v>70617.3</v>
      </c>
      <c r="C21" s="2"/>
    </row>
    <row r="22" spans="1:7" x14ac:dyDescent="0.3">
      <c r="A22">
        <v>12734</v>
      </c>
      <c r="B22" s="2">
        <v>60751.8</v>
      </c>
      <c r="C22" s="2"/>
      <c r="D22" s="13" t="s">
        <v>34</v>
      </c>
      <c r="E22" s="4" t="s">
        <v>2</v>
      </c>
      <c r="F22" s="4">
        <f>SLOPE(Table1[Sales Revenue ($)],Table1[Total Advertising ($)])</f>
        <v>3.2060826763494608</v>
      </c>
      <c r="G22" s="4"/>
    </row>
    <row r="23" spans="1:7" x14ac:dyDescent="0.3">
      <c r="A23">
        <v>8218</v>
      </c>
      <c r="B23" s="2">
        <v>36431.800000000003</v>
      </c>
      <c r="C23" s="2"/>
      <c r="D23" s="14" t="s">
        <v>35</v>
      </c>
      <c r="E23" s="4" t="s">
        <v>3</v>
      </c>
      <c r="F23" s="4">
        <f>INTERCEPT(Table1[Sales Revenue ($)],Table1[Total Advertising ($)])</f>
        <v>16119.120879880473</v>
      </c>
      <c r="G23" s="4"/>
    </row>
    <row r="24" spans="1:7" x14ac:dyDescent="0.3">
      <c r="A24">
        <v>17667</v>
      </c>
      <c r="B24" s="2">
        <v>71242.899999999994</v>
      </c>
      <c r="C24" s="2"/>
      <c r="D24" s="14" t="s">
        <v>37</v>
      </c>
      <c r="E24" s="4" t="s">
        <v>4</v>
      </c>
      <c r="F24" s="4">
        <f>RSQ(Table1[Sales Revenue ($)],Table1[Total Advertising ($)])</f>
        <v>0.87551813042632187</v>
      </c>
      <c r="G24" s="4"/>
    </row>
    <row r="25" spans="1:7" x14ac:dyDescent="0.3">
      <c r="A25">
        <v>9016</v>
      </c>
      <c r="B25" s="2">
        <v>49255.9</v>
      </c>
      <c r="C25" s="2"/>
      <c r="D25" s="14" t="s">
        <v>36</v>
      </c>
      <c r="E25" s="4" t="s">
        <v>5</v>
      </c>
      <c r="F25" s="4" cm="1">
        <f t="array" ref="F25:G25">LINEST(Table1[Sales Revenue ($)],Table1[Total Advertising ($)])</f>
        <v>3.2060826763494581</v>
      </c>
      <c r="G25" s="4">
        <v>16119.120879880502</v>
      </c>
    </row>
    <row r="26" spans="1:7" x14ac:dyDescent="0.3">
      <c r="A26">
        <v>10265</v>
      </c>
      <c r="B26" s="2">
        <v>50368.5</v>
      </c>
      <c r="C26" s="2"/>
      <c r="D26" s="14"/>
      <c r="E26" s="4" t="s">
        <v>6</v>
      </c>
      <c r="F26" s="4">
        <v>15000</v>
      </c>
      <c r="G26" s="4"/>
    </row>
    <row r="27" spans="1:7" x14ac:dyDescent="0.3">
      <c r="A27">
        <v>14559</v>
      </c>
      <c r="B27" s="2">
        <v>60098</v>
      </c>
      <c r="C27" s="2"/>
      <c r="D27" s="15" t="s">
        <v>38</v>
      </c>
      <c r="E27" s="4" t="s">
        <v>7</v>
      </c>
      <c r="F27" s="4">
        <f>_xlfn.FORECAST.LINEAR(F26,Table1[Sales Revenue ($)],Table1[Total Advertising ($)])</f>
        <v>64210.361025122387</v>
      </c>
      <c r="G27" s="4"/>
    </row>
    <row r="28" spans="1:7" x14ac:dyDescent="0.3">
      <c r="A28">
        <v>7582</v>
      </c>
      <c r="B28" s="2">
        <v>35395.4</v>
      </c>
      <c r="C28" s="2"/>
    </row>
    <row r="29" spans="1:7" x14ac:dyDescent="0.3">
      <c r="A29">
        <v>13341</v>
      </c>
      <c r="B29" s="2">
        <v>63570.6</v>
      </c>
      <c r="C29" s="2"/>
    </row>
    <row r="30" spans="1:7" x14ac:dyDescent="0.3">
      <c r="A30">
        <v>10879</v>
      </c>
      <c r="B30" s="2">
        <v>52900.4</v>
      </c>
      <c r="C30" s="2"/>
    </row>
    <row r="31" spans="1:7" x14ac:dyDescent="0.3">
      <c r="A31">
        <v>12533</v>
      </c>
      <c r="B31" s="2">
        <v>56304.2</v>
      </c>
      <c r="C31" s="2"/>
    </row>
    <row r="32" spans="1:7" x14ac:dyDescent="0.3">
      <c r="A32">
        <v>11692</v>
      </c>
      <c r="B32" s="2">
        <v>56354.3</v>
      </c>
      <c r="C32" s="2"/>
    </row>
    <row r="33" spans="1:3" x14ac:dyDescent="0.3">
      <c r="A33">
        <v>8410</v>
      </c>
      <c r="B33" s="2">
        <v>44741.7</v>
      </c>
      <c r="C33" s="2"/>
    </row>
    <row r="34" spans="1:3" x14ac:dyDescent="0.3">
      <c r="A34">
        <v>10559</v>
      </c>
      <c r="B34" s="2">
        <v>47417.9</v>
      </c>
      <c r="C34" s="2"/>
    </row>
    <row r="35" spans="1:3" x14ac:dyDescent="0.3">
      <c r="A35">
        <v>9132</v>
      </c>
      <c r="B35" s="2">
        <v>41407.4</v>
      </c>
      <c r="C35" s="2"/>
    </row>
    <row r="36" spans="1:3" x14ac:dyDescent="0.3">
      <c r="A36">
        <v>11288</v>
      </c>
      <c r="B36" s="2">
        <v>49634.9</v>
      </c>
      <c r="C36" s="2"/>
    </row>
    <row r="37" spans="1:3" x14ac:dyDescent="0.3">
      <c r="A37">
        <v>17474</v>
      </c>
      <c r="B37" s="2">
        <v>73662.100000000006</v>
      </c>
      <c r="C37" s="2"/>
    </row>
    <row r="38" spans="1:3" x14ac:dyDescent="0.3">
      <c r="A38">
        <v>6920</v>
      </c>
      <c r="B38" s="2">
        <v>32864.699999999997</v>
      </c>
      <c r="C38" s="2"/>
    </row>
    <row r="39" spans="1:3" x14ac:dyDescent="0.3">
      <c r="A39">
        <v>13484</v>
      </c>
      <c r="B39" s="2">
        <v>54120.4</v>
      </c>
      <c r="C39" s="2"/>
    </row>
    <row r="40" spans="1:3" x14ac:dyDescent="0.3">
      <c r="A40">
        <v>7762</v>
      </c>
      <c r="B40" s="2">
        <v>46691.4</v>
      </c>
      <c r="C40" s="2"/>
    </row>
    <row r="41" spans="1:3" x14ac:dyDescent="0.3">
      <c r="A41">
        <v>9431</v>
      </c>
      <c r="B41" s="2">
        <v>48033.8</v>
      </c>
      <c r="C41" s="2"/>
    </row>
    <row r="42" spans="1:3" x14ac:dyDescent="0.3">
      <c r="A42">
        <v>7454</v>
      </c>
      <c r="B42" s="2">
        <v>43131.3</v>
      </c>
      <c r="C42" s="2"/>
    </row>
    <row r="43" spans="1:3" x14ac:dyDescent="0.3">
      <c r="A43">
        <v>9741</v>
      </c>
      <c r="B43" s="2">
        <v>48215.5</v>
      </c>
      <c r="C43" s="2"/>
    </row>
    <row r="44" spans="1:3" x14ac:dyDescent="0.3">
      <c r="A44">
        <v>9164</v>
      </c>
      <c r="B44" s="2">
        <v>42688.2</v>
      </c>
      <c r="C44" s="2"/>
    </row>
    <row r="45" spans="1:3" x14ac:dyDescent="0.3">
      <c r="A45">
        <v>14435</v>
      </c>
      <c r="B45" s="2">
        <v>63253.1</v>
      </c>
      <c r="C45" s="2"/>
    </row>
    <row r="46" spans="1:3" x14ac:dyDescent="0.3">
      <c r="A46">
        <v>11519</v>
      </c>
      <c r="B46" s="2">
        <v>47459.7</v>
      </c>
      <c r="C46" s="2"/>
    </row>
    <row r="47" spans="1:3" x14ac:dyDescent="0.3">
      <c r="A47">
        <v>13829</v>
      </c>
      <c r="B47" s="2">
        <v>63661.9</v>
      </c>
      <c r="C47" s="2"/>
    </row>
    <row r="48" spans="1:3" x14ac:dyDescent="0.3">
      <c r="A48">
        <v>12329</v>
      </c>
      <c r="B48" s="2">
        <v>53255.4</v>
      </c>
      <c r="C48" s="2"/>
    </row>
    <row r="49" spans="1:3" x14ac:dyDescent="0.3">
      <c r="A49">
        <v>16549</v>
      </c>
      <c r="B49" s="2">
        <v>69571</v>
      </c>
      <c r="C49" s="2"/>
    </row>
    <row r="50" spans="1:3" x14ac:dyDescent="0.3">
      <c r="A50">
        <v>9745</v>
      </c>
      <c r="B50" s="2">
        <v>47833.3</v>
      </c>
      <c r="C50" s="2"/>
    </row>
    <row r="51" spans="1:3" x14ac:dyDescent="0.3">
      <c r="A51">
        <v>11293</v>
      </c>
      <c r="B51" s="2">
        <v>49716.2</v>
      </c>
      <c r="C51" s="2"/>
    </row>
    <row r="52" spans="1:3" x14ac:dyDescent="0.3">
      <c r="A52">
        <v>16481</v>
      </c>
      <c r="B52" s="2">
        <v>71520.600000000006</v>
      </c>
      <c r="C52" s="2"/>
    </row>
    <row r="53" spans="1:3" x14ac:dyDescent="0.3">
      <c r="A53">
        <v>6984</v>
      </c>
      <c r="B53" s="2">
        <v>33577.199999999997</v>
      </c>
      <c r="C53" s="2"/>
    </row>
    <row r="54" spans="1:3" x14ac:dyDescent="0.3">
      <c r="A54">
        <v>13071</v>
      </c>
      <c r="B54" s="2">
        <v>57812.7</v>
      </c>
      <c r="C54" s="2"/>
    </row>
    <row r="55" spans="1:3" x14ac:dyDescent="0.3">
      <c r="A55">
        <v>12742</v>
      </c>
      <c r="B55" s="2">
        <v>49419.199999999997</v>
      </c>
      <c r="C55" s="2"/>
    </row>
    <row r="56" spans="1:3" x14ac:dyDescent="0.3">
      <c r="A56">
        <v>10401</v>
      </c>
      <c r="B56" s="2">
        <v>52520.1</v>
      </c>
      <c r="C56" s="2"/>
    </row>
    <row r="57" spans="1:3" x14ac:dyDescent="0.3">
      <c r="A57">
        <v>12837</v>
      </c>
      <c r="B57" s="2">
        <v>59543.199999999997</v>
      </c>
      <c r="C57" s="2"/>
    </row>
    <row r="58" spans="1:3" x14ac:dyDescent="0.3">
      <c r="A58">
        <v>10689</v>
      </c>
      <c r="B58" s="2">
        <v>51687.9</v>
      </c>
      <c r="C58" s="2"/>
    </row>
    <row r="59" spans="1:3" x14ac:dyDescent="0.3">
      <c r="A59">
        <v>11404</v>
      </c>
      <c r="B59" s="2">
        <v>48682</v>
      </c>
      <c r="C59" s="2"/>
    </row>
    <row r="60" spans="1:3" x14ac:dyDescent="0.3">
      <c r="A60">
        <v>10869</v>
      </c>
      <c r="B60" s="2">
        <v>49776.6</v>
      </c>
      <c r="C60" s="2"/>
    </row>
    <row r="61" spans="1:3" x14ac:dyDescent="0.3">
      <c r="A61">
        <v>14483</v>
      </c>
      <c r="B61" s="2">
        <v>66500.899999999994</v>
      </c>
      <c r="C61" s="2"/>
    </row>
    <row r="62" spans="1:3" x14ac:dyDescent="0.3">
      <c r="A62">
        <v>8281</v>
      </c>
      <c r="B62" s="2">
        <v>41984.5</v>
      </c>
      <c r="C62" s="2"/>
    </row>
    <row r="63" spans="1:3" x14ac:dyDescent="0.3">
      <c r="A63">
        <v>12377</v>
      </c>
      <c r="B63" s="2">
        <v>49546.7</v>
      </c>
      <c r="C63" s="2"/>
    </row>
    <row r="64" spans="1:3" x14ac:dyDescent="0.3">
      <c r="A64">
        <v>9599</v>
      </c>
      <c r="B64" s="2">
        <v>44517.599999999999</v>
      </c>
      <c r="C64" s="2"/>
    </row>
    <row r="65" spans="1:3" x14ac:dyDescent="0.3">
      <c r="A65">
        <v>10411</v>
      </c>
      <c r="B65" s="2">
        <v>45073.3</v>
      </c>
      <c r="C65" s="2"/>
    </row>
    <row r="66" spans="1:3" x14ac:dyDescent="0.3">
      <c r="A66">
        <v>13038</v>
      </c>
      <c r="B66" s="2">
        <v>53535.6</v>
      </c>
      <c r="C66" s="2"/>
    </row>
    <row r="67" spans="1:3" x14ac:dyDescent="0.3">
      <c r="A67">
        <v>16043</v>
      </c>
      <c r="B67" s="2">
        <v>73208.3</v>
      </c>
      <c r="C67" s="2"/>
    </row>
    <row r="68" spans="1:3" x14ac:dyDescent="0.3">
      <c r="A68">
        <v>13977</v>
      </c>
      <c r="B68" s="2">
        <v>54033.4</v>
      </c>
      <c r="C68" s="2"/>
    </row>
    <row r="69" spans="1:3" x14ac:dyDescent="0.3">
      <c r="A69">
        <v>12329</v>
      </c>
      <c r="B69" s="2">
        <v>54734.7</v>
      </c>
      <c r="C69" s="2"/>
    </row>
    <row r="70" spans="1:3" x14ac:dyDescent="0.3">
      <c r="A70">
        <v>12020</v>
      </c>
      <c r="B70" s="2">
        <v>55412.800000000003</v>
      </c>
      <c r="C70" s="2"/>
    </row>
    <row r="71" spans="1:3" x14ac:dyDescent="0.3">
      <c r="A71">
        <v>14607</v>
      </c>
      <c r="B71" s="2">
        <v>58804.4</v>
      </c>
      <c r="C71" s="2"/>
    </row>
    <row r="72" spans="1:3" x14ac:dyDescent="0.3">
      <c r="A72">
        <v>18278</v>
      </c>
      <c r="B72" s="2">
        <v>76936.5</v>
      </c>
      <c r="C72" s="2"/>
    </row>
    <row r="73" spans="1:3" x14ac:dyDescent="0.3">
      <c r="A73">
        <v>11603</v>
      </c>
      <c r="B73" s="2">
        <v>50415.199999999997</v>
      </c>
      <c r="C73" s="2"/>
    </row>
    <row r="74" spans="1:3" x14ac:dyDescent="0.3">
      <c r="A74">
        <v>11710</v>
      </c>
      <c r="B74" s="2">
        <v>55572.2</v>
      </c>
      <c r="C74" s="2"/>
    </row>
    <row r="75" spans="1:3" x14ac:dyDescent="0.3">
      <c r="A75">
        <v>9909</v>
      </c>
      <c r="B75" s="2">
        <v>51507.9</v>
      </c>
      <c r="C75" s="2"/>
    </row>
    <row r="76" spans="1:3" x14ac:dyDescent="0.3">
      <c r="A76">
        <v>11246</v>
      </c>
      <c r="B76" s="2">
        <v>47797.8</v>
      </c>
      <c r="C76" s="2"/>
    </row>
    <row r="77" spans="1:3" x14ac:dyDescent="0.3">
      <c r="A77">
        <v>10590</v>
      </c>
      <c r="B77" s="2">
        <v>49907.3</v>
      </c>
      <c r="C77" s="2"/>
    </row>
    <row r="78" spans="1:3" x14ac:dyDescent="0.3">
      <c r="A78">
        <v>11760</v>
      </c>
      <c r="B78" s="2">
        <v>52281.7</v>
      </c>
      <c r="C78" s="2"/>
    </row>
    <row r="79" spans="1:3" x14ac:dyDescent="0.3">
      <c r="A79">
        <v>16635</v>
      </c>
      <c r="B79" s="2">
        <v>71272.2</v>
      </c>
      <c r="C79" s="2"/>
    </row>
    <row r="80" spans="1:3" x14ac:dyDescent="0.3">
      <c r="A80">
        <v>6991</v>
      </c>
      <c r="B80" s="2">
        <v>39417.699999999997</v>
      </c>
      <c r="C80" s="2"/>
    </row>
    <row r="81" spans="1:3" x14ac:dyDescent="0.3">
      <c r="A81">
        <v>13897</v>
      </c>
      <c r="B81" s="2">
        <v>56729.2</v>
      </c>
      <c r="C81" s="2"/>
    </row>
    <row r="82" spans="1:3" x14ac:dyDescent="0.3">
      <c r="A82">
        <v>14563</v>
      </c>
      <c r="B82" s="2">
        <v>71266.600000000006</v>
      </c>
      <c r="C82" s="2"/>
    </row>
    <row r="83" spans="1:3" x14ac:dyDescent="0.3">
      <c r="A83">
        <v>9566</v>
      </c>
      <c r="B83" s="2">
        <v>51816.5</v>
      </c>
      <c r="C83" s="2"/>
    </row>
    <row r="84" spans="1:3" x14ac:dyDescent="0.3">
      <c r="A84">
        <v>11850</v>
      </c>
      <c r="B84" s="2">
        <v>58224.7</v>
      </c>
      <c r="C84" s="2"/>
    </row>
    <row r="85" spans="1:3" x14ac:dyDescent="0.3">
      <c r="A85">
        <v>11581</v>
      </c>
      <c r="B85" s="2">
        <v>56067.9</v>
      </c>
      <c r="C85" s="2"/>
    </row>
    <row r="86" spans="1:3" x14ac:dyDescent="0.3">
      <c r="A86">
        <v>11181</v>
      </c>
      <c r="B86" s="2">
        <v>52815</v>
      </c>
      <c r="C86" s="2"/>
    </row>
    <row r="87" spans="1:3" x14ac:dyDescent="0.3">
      <c r="A87">
        <v>13440</v>
      </c>
      <c r="B87" s="2">
        <v>60315</v>
      </c>
      <c r="C87" s="2"/>
    </row>
    <row r="88" spans="1:3" x14ac:dyDescent="0.3">
      <c r="A88">
        <v>12467</v>
      </c>
      <c r="B88" s="2">
        <v>57183.199999999997</v>
      </c>
      <c r="C88" s="2"/>
    </row>
    <row r="89" spans="1:3" x14ac:dyDescent="0.3">
      <c r="A89">
        <v>9874</v>
      </c>
      <c r="B89" s="2">
        <v>48129.1</v>
      </c>
      <c r="C89" s="2"/>
    </row>
    <row r="90" spans="1:3" x14ac:dyDescent="0.3">
      <c r="A90">
        <v>12545</v>
      </c>
      <c r="B90" s="2">
        <v>61308.5</v>
      </c>
      <c r="C90" s="2"/>
    </row>
    <row r="91" spans="1:3" x14ac:dyDescent="0.3">
      <c r="A91">
        <v>9921</v>
      </c>
      <c r="B91" s="2">
        <v>43208.1</v>
      </c>
      <c r="C91" s="2"/>
    </row>
    <row r="92" spans="1:3" x14ac:dyDescent="0.3">
      <c r="A92">
        <v>10102</v>
      </c>
      <c r="B92" s="2">
        <v>54520.7</v>
      </c>
      <c r="C92" s="2"/>
    </row>
    <row r="93" spans="1:3" x14ac:dyDescent="0.3">
      <c r="A93">
        <v>12738</v>
      </c>
      <c r="B93" s="2">
        <v>62161.9</v>
      </c>
      <c r="C93" s="2"/>
    </row>
    <row r="94" spans="1:3" x14ac:dyDescent="0.3">
      <c r="A94">
        <v>18966</v>
      </c>
      <c r="B94" s="2">
        <v>74620.800000000003</v>
      </c>
      <c r="C94" s="2"/>
    </row>
    <row r="95" spans="1:3" x14ac:dyDescent="0.3">
      <c r="A95">
        <v>14090</v>
      </c>
      <c r="B95" s="2">
        <v>64427.6</v>
      </c>
      <c r="C95" s="2"/>
    </row>
    <row r="96" spans="1:3" x14ac:dyDescent="0.3">
      <c r="A96">
        <v>13576</v>
      </c>
      <c r="B96" s="2">
        <v>57761.8</v>
      </c>
      <c r="C96" s="2"/>
    </row>
    <row r="97" spans="1:3" x14ac:dyDescent="0.3">
      <c r="A97">
        <v>13882</v>
      </c>
      <c r="B97" s="2">
        <v>60852.5</v>
      </c>
      <c r="C97" s="2"/>
    </row>
    <row r="98" spans="1:3" x14ac:dyDescent="0.3">
      <c r="A98">
        <v>11577</v>
      </c>
      <c r="B98" s="2">
        <v>49000.2</v>
      </c>
      <c r="C98" s="2"/>
    </row>
    <row r="99" spans="1:3" x14ac:dyDescent="0.3">
      <c r="A99">
        <v>10613</v>
      </c>
      <c r="B99" s="2">
        <v>49002.3</v>
      </c>
      <c r="C99" s="2"/>
    </row>
    <row r="100" spans="1:3" x14ac:dyDescent="0.3">
      <c r="A100">
        <v>6607</v>
      </c>
      <c r="B100" s="2">
        <v>42548.800000000003</v>
      </c>
      <c r="C100" s="2"/>
    </row>
    <row r="101" spans="1:3" x14ac:dyDescent="0.3">
      <c r="A101">
        <v>12649</v>
      </c>
      <c r="B101" s="2">
        <v>50826.8</v>
      </c>
      <c r="C101" s="2"/>
    </row>
    <row r="102" spans="1:3" x14ac:dyDescent="0.3">
      <c r="A102">
        <v>11988</v>
      </c>
      <c r="B102" s="2">
        <v>52236.2</v>
      </c>
      <c r="C102" s="2"/>
    </row>
    <row r="103" spans="1:3" x14ac:dyDescent="0.3">
      <c r="A103">
        <v>10513</v>
      </c>
      <c r="B103" s="2">
        <v>48006.400000000001</v>
      </c>
      <c r="C103" s="2"/>
    </row>
    <row r="104" spans="1:3" x14ac:dyDescent="0.3">
      <c r="A104">
        <v>13873</v>
      </c>
      <c r="B104" s="2">
        <v>58740.7</v>
      </c>
      <c r="C104" s="2"/>
    </row>
    <row r="105" spans="1:3" x14ac:dyDescent="0.3">
      <c r="A105">
        <v>13845</v>
      </c>
      <c r="B105" s="2">
        <v>57484.2</v>
      </c>
      <c r="C105" s="2"/>
    </row>
    <row r="106" spans="1:3" x14ac:dyDescent="0.3">
      <c r="A106">
        <v>13583</v>
      </c>
      <c r="B106" s="2">
        <v>62611.7</v>
      </c>
      <c r="C106" s="2"/>
    </row>
    <row r="107" spans="1:3" x14ac:dyDescent="0.3">
      <c r="A107">
        <v>7234</v>
      </c>
      <c r="B107" s="2">
        <v>40694.6</v>
      </c>
      <c r="C107" s="2"/>
    </row>
    <row r="108" spans="1:3" x14ac:dyDescent="0.3">
      <c r="A108">
        <v>15428</v>
      </c>
      <c r="B108" s="2">
        <v>66402.3</v>
      </c>
      <c r="C108" s="2"/>
    </row>
    <row r="109" spans="1:3" x14ac:dyDescent="0.3">
      <c r="A109">
        <v>9351</v>
      </c>
      <c r="B109" s="2">
        <v>45284.5</v>
      </c>
      <c r="C109" s="2"/>
    </row>
    <row r="110" spans="1:3" x14ac:dyDescent="0.3">
      <c r="A110">
        <v>13836</v>
      </c>
      <c r="B110" s="2">
        <v>59151.9</v>
      </c>
      <c r="C110" s="2"/>
    </row>
    <row r="111" spans="1:3" x14ac:dyDescent="0.3">
      <c r="A111">
        <v>7507</v>
      </c>
      <c r="B111" s="2">
        <v>44394</v>
      </c>
      <c r="C111" s="2"/>
    </row>
    <row r="112" spans="1:3" x14ac:dyDescent="0.3">
      <c r="A112">
        <v>11350</v>
      </c>
      <c r="B112" s="2">
        <v>59542.3</v>
      </c>
      <c r="C112" s="2"/>
    </row>
    <row r="113" spans="1:3" x14ac:dyDescent="0.3">
      <c r="A113">
        <v>13752</v>
      </c>
      <c r="B113" s="2">
        <v>55596.1</v>
      </c>
      <c r="C113" s="2"/>
    </row>
    <row r="114" spans="1:3" x14ac:dyDescent="0.3">
      <c r="A114">
        <v>8854</v>
      </c>
      <c r="B114" s="2">
        <v>44026.7</v>
      </c>
      <c r="C114" s="2"/>
    </row>
    <row r="115" spans="1:3" x14ac:dyDescent="0.3">
      <c r="A115">
        <v>12372</v>
      </c>
      <c r="B115" s="2">
        <v>58392.1</v>
      </c>
      <c r="C115" s="2"/>
    </row>
    <row r="116" spans="1:3" x14ac:dyDescent="0.3">
      <c r="A116">
        <v>9485</v>
      </c>
      <c r="B116" s="2">
        <v>44702.7</v>
      </c>
      <c r="C116" s="2"/>
    </row>
    <row r="117" spans="1:3" x14ac:dyDescent="0.3">
      <c r="A117">
        <v>9564</v>
      </c>
      <c r="B117" s="2">
        <v>49529.599999999999</v>
      </c>
      <c r="C117" s="2"/>
    </row>
    <row r="118" spans="1:3" x14ac:dyDescent="0.3">
      <c r="A118">
        <v>13099</v>
      </c>
      <c r="B118" s="2">
        <v>58139.1</v>
      </c>
      <c r="C118" s="2"/>
    </row>
    <row r="119" spans="1:3" x14ac:dyDescent="0.3">
      <c r="A119">
        <v>10803</v>
      </c>
      <c r="B119" s="2">
        <v>52775.199999999997</v>
      </c>
      <c r="C119" s="2"/>
    </row>
    <row r="120" spans="1:3" x14ac:dyDescent="0.3">
      <c r="A120">
        <v>12064</v>
      </c>
      <c r="B120" s="2">
        <v>57155.3</v>
      </c>
      <c r="C120" s="2"/>
    </row>
    <row r="121" spans="1:3" x14ac:dyDescent="0.3">
      <c r="A121">
        <v>8375</v>
      </c>
      <c r="B121" s="2">
        <v>44113.5</v>
      </c>
      <c r="C121" s="2"/>
    </row>
    <row r="122" spans="1:3" x14ac:dyDescent="0.3">
      <c r="A122">
        <v>11531</v>
      </c>
      <c r="B122" s="2">
        <v>46691.3</v>
      </c>
      <c r="C122" s="2"/>
    </row>
    <row r="123" spans="1:3" x14ac:dyDescent="0.3">
      <c r="A123">
        <v>7415</v>
      </c>
      <c r="B123" s="2">
        <v>40566.199999999997</v>
      </c>
      <c r="C123" s="2"/>
    </row>
    <row r="124" spans="1:3" x14ac:dyDescent="0.3">
      <c r="A124">
        <v>9984</v>
      </c>
      <c r="B124" s="2">
        <v>53033.599999999999</v>
      </c>
      <c r="C124" s="2"/>
    </row>
  </sheetData>
  <mergeCells count="2">
    <mergeCell ref="A1:D1"/>
    <mergeCell ref="D20:G20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BEB6-1358-4523-BAFB-CE903B1EC80E}">
  <dimension ref="A1:I18"/>
  <sheetViews>
    <sheetView showGridLines="0" zoomScale="128" workbookViewId="0">
      <selection sqref="A1:C1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ht="23.4" x14ac:dyDescent="0.45">
      <c r="A1" s="9" t="s">
        <v>8</v>
      </c>
      <c r="B1" s="9"/>
      <c r="C1" s="9"/>
    </row>
    <row r="3" spans="1:9" x14ac:dyDescent="0.3">
      <c r="A3" s="6" t="s">
        <v>9</v>
      </c>
      <c r="B3" s="3"/>
    </row>
    <row r="4" spans="1:9" x14ac:dyDescent="0.3">
      <c r="A4" s="4" t="s">
        <v>10</v>
      </c>
      <c r="B4" s="4">
        <v>0.93569125806877207</v>
      </c>
    </row>
    <row r="5" spans="1:9" x14ac:dyDescent="0.3">
      <c r="A5" s="4" t="s">
        <v>11</v>
      </c>
      <c r="B5" s="4">
        <v>0.87551813042632143</v>
      </c>
    </row>
    <row r="6" spans="1:9" x14ac:dyDescent="0.3">
      <c r="A6" s="4" t="s">
        <v>12</v>
      </c>
      <c r="B6" s="4">
        <v>0.87446319932823946</v>
      </c>
    </row>
    <row r="7" spans="1:9" x14ac:dyDescent="0.3">
      <c r="A7" s="4" t="s">
        <v>13</v>
      </c>
      <c r="B7" s="4">
        <v>3485.7761568926744</v>
      </c>
    </row>
    <row r="8" spans="1:9" x14ac:dyDescent="0.3">
      <c r="A8" s="4" t="s">
        <v>14</v>
      </c>
      <c r="B8" s="4">
        <v>120</v>
      </c>
    </row>
    <row r="10" spans="1:9" x14ac:dyDescent="0.3">
      <c r="A10" s="17" t="s">
        <v>15</v>
      </c>
    </row>
    <row r="11" spans="1:9" x14ac:dyDescent="0.3">
      <c r="A11" s="5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</row>
    <row r="12" spans="1:9" x14ac:dyDescent="0.3">
      <c r="A12" s="4" t="s">
        <v>16</v>
      </c>
      <c r="B12" s="4">
        <v>1</v>
      </c>
      <c r="C12" s="4">
        <v>10084167224.016464</v>
      </c>
      <c r="D12" s="4">
        <v>10084167224.016464</v>
      </c>
      <c r="E12" s="4">
        <v>829.92920771613149</v>
      </c>
      <c r="F12" s="4">
        <v>3.1966370829826078E-55</v>
      </c>
    </row>
    <row r="13" spans="1:9" x14ac:dyDescent="0.3">
      <c r="A13" s="4" t="s">
        <v>17</v>
      </c>
      <c r="B13" s="4">
        <v>118</v>
      </c>
      <c r="C13" s="4">
        <v>1433774979.0834527</v>
      </c>
      <c r="D13" s="4">
        <v>12150635.415961463</v>
      </c>
      <c r="E13" s="4"/>
      <c r="F13" s="4"/>
    </row>
    <row r="14" spans="1:9" x14ac:dyDescent="0.3">
      <c r="A14" s="4" t="s">
        <v>18</v>
      </c>
      <c r="B14" s="4">
        <v>119</v>
      </c>
      <c r="C14" s="4">
        <v>11517942203.099916</v>
      </c>
      <c r="D14" s="4"/>
      <c r="E14" s="4"/>
      <c r="F14" s="4"/>
    </row>
    <row r="16" spans="1:9" x14ac:dyDescent="0.3">
      <c r="A16" s="5"/>
      <c r="B16" s="7" t="s">
        <v>25</v>
      </c>
      <c r="C16" s="7" t="s">
        <v>13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</row>
    <row r="17" spans="1:9" x14ac:dyDescent="0.3">
      <c r="A17" s="4" t="s">
        <v>19</v>
      </c>
      <c r="B17" s="4">
        <v>16119.120879880502</v>
      </c>
      <c r="C17" s="4">
        <v>1330.8271400475039</v>
      </c>
      <c r="D17" s="4">
        <v>12.112107121068428</v>
      </c>
      <c r="E17" s="4">
        <v>1.9436863234353515E-22</v>
      </c>
      <c r="F17" s="4">
        <v>13483.720825865115</v>
      </c>
      <c r="G17" s="4">
        <v>18754.520933895888</v>
      </c>
      <c r="H17" s="4">
        <v>13483.720825865115</v>
      </c>
      <c r="I17" s="4">
        <v>18754.520933895888</v>
      </c>
    </row>
    <row r="18" spans="1:9" x14ac:dyDescent="0.3">
      <c r="A18" s="4" t="s">
        <v>0</v>
      </c>
      <c r="B18" s="4">
        <v>3.2060826763494581</v>
      </c>
      <c r="C18" s="4">
        <v>0.11128950044657009</v>
      </c>
      <c r="D18" s="4">
        <v>28.808491937554283</v>
      </c>
      <c r="E18" s="4">
        <v>3.1966370829829273E-55</v>
      </c>
      <c r="F18" s="4">
        <v>2.9856991669796633</v>
      </c>
      <c r="G18" s="4">
        <v>3.4264661857192529</v>
      </c>
      <c r="H18" s="4">
        <v>2.9856991669796633</v>
      </c>
      <c r="I18" s="4">
        <v>3.4264661857192529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Regression_analysis</vt:lpstr>
      <vt:lpstr>Summary_output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NITISHA</cp:lastModifiedBy>
  <dcterms:created xsi:type="dcterms:W3CDTF">2026-02-22T06:08:44Z</dcterms:created>
  <dcterms:modified xsi:type="dcterms:W3CDTF">2026-02-22T08:46:29Z</dcterms:modified>
</cp:coreProperties>
</file>