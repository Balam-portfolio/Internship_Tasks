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TISHA\Downloads\"/>
    </mc:Choice>
  </mc:AlternateContent>
  <xr:revisionPtr revIDLastSave="0" documentId="13_ncr:1_{396F2CF5-4C98-4E43-8DB2-D57A48340EA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verview" sheetId="1" r:id="rId1"/>
    <sheet name="Data_Dictionary" sheetId="3" r:id="rId2"/>
    <sheet name="Cleaned_data" sheetId="2" r:id="rId3"/>
    <sheet name="Analysis" sheetId="6" r:id="rId4"/>
    <sheet name="Key_Visuals" sheetId="5" r:id="rId5"/>
  </sheets>
  <definedNames>
    <definedName name="_xlnm._FilterDatabase" localSheetId="2" hidden="1">Cleaned_data!$A$1:$L$201</definedName>
    <definedName name="_xlchart.v1.0" hidden="1">Cleaned_data!$C$1</definedName>
    <definedName name="_xlchart.v1.1" hidden="1">Cleaned_data!$C$2:$C$201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6" l="1"/>
  <c r="E6" i="6"/>
  <c r="E5" i="6"/>
  <c r="E4" i="6"/>
  <c r="D7" i="6"/>
  <c r="C7" i="6"/>
  <c r="B7" i="6"/>
  <c r="D6" i="6"/>
  <c r="C6" i="6"/>
  <c r="B6" i="6"/>
  <c r="D5" i="6"/>
  <c r="C5" i="6"/>
  <c r="B5" i="6"/>
  <c r="D4" i="6"/>
  <c r="C4" i="6"/>
  <c r="B4" i="6"/>
  <c r="N22" i="5"/>
  <c r="N21" i="5"/>
  <c r="N20" i="5"/>
  <c r="N19" i="5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" i="2"/>
</calcChain>
</file>

<file path=xl/sharedStrings.xml><?xml version="1.0" encoding="utf-8"?>
<sst xmlns="http://schemas.openxmlformats.org/spreadsheetml/2006/main" count="959" uniqueCount="331">
  <si>
    <t>OVERVIEW</t>
  </si>
  <si>
    <t>This workbook contains a messy customer purchase dataset with:</t>
  </si>
  <si>
    <t xml:space="preserve">  • Missing values (15% across multiple columns)</t>
  </si>
  <si>
    <t xml:space="preserve">  • Duplicate rows (10 duplicates)</t>
  </si>
  <si>
    <t xml:space="preserve">  • Inconsistent data formats (dates, gender, city, product categories)</t>
  </si>
  <si>
    <t xml:space="preserve">  • Outliers in purchase amounts</t>
  </si>
  <si>
    <t>Total Records: 210 rows | Total Columns: 11</t>
  </si>
  <si>
    <t>TASK 1: DATA CLEANING AND PREPROCESSING</t>
  </si>
  <si>
    <t>TASK 2: EXPLORATORY DATA ANALYSIS (EDA)</t>
  </si>
  <si>
    <t xml:space="preserve">  • Mean: =AVERAGE(range)</t>
  </si>
  <si>
    <t xml:space="preserve">  • Median: =MEDIAN(range)</t>
  </si>
  <si>
    <t xml:space="preserve">  • Mode: =MODE.SNGL(range)</t>
  </si>
  <si>
    <t xml:space="preserve">  • Standard Deviation: =STDEV.S(range)</t>
  </si>
  <si>
    <t xml:space="preserve">  • Min/Max: =MIN(range), =MAX(range)</t>
  </si>
  <si>
    <t xml:space="preserve">  • Histogram: Insert → Charts → Histogram</t>
  </si>
  <si>
    <t xml:space="preserve">  • Box Plot: Use statistical formulas + bar chart</t>
  </si>
  <si>
    <t xml:space="preserve">  • Scatter Plot: Insert → Charts → Scatter</t>
  </si>
  <si>
    <t xml:space="preserve">  • PurchaseAmount vs Age</t>
  </si>
  <si>
    <t xml:space="preserve">  • PurchaseAmount vs CustomerSatisfaction</t>
  </si>
  <si>
    <t xml:space="preserve">  • DeliveryTime vs CustomerSatisfaction</t>
  </si>
  <si>
    <t>EXPECTED OUTCOMES AFTER CLEANING</t>
  </si>
  <si>
    <t xml:space="preserve">  • No missing values (or appropriately imputed)</t>
  </si>
  <si>
    <t xml:space="preserve">  • No duplicate rows (~200 unique records)</t>
  </si>
  <si>
    <t xml:space="preserve">  • Consistent date format across all records</t>
  </si>
  <si>
    <t xml:space="preserve">  • Standardized categorical values (Gender, City, ProductCategory)</t>
  </si>
  <si>
    <t xml:space="preserve">  • Clear understanding of data distributions and relationships</t>
  </si>
  <si>
    <t>CustomerID</t>
  </si>
  <si>
    <t>Name</t>
  </si>
  <si>
    <t>Age</t>
  </si>
  <si>
    <t>Gender</t>
  </si>
  <si>
    <t>City</t>
  </si>
  <si>
    <t>PurchaseDate</t>
  </si>
  <si>
    <t>ProductCategory</t>
  </si>
  <si>
    <t>PurchaseAmount</t>
  </si>
  <si>
    <t>Quantity</t>
  </si>
  <si>
    <t>CustomerSatisfaction</t>
  </si>
  <si>
    <t>DeliveryTime</t>
  </si>
  <si>
    <t>Customer_31</t>
  </si>
  <si>
    <t>Male</t>
  </si>
  <si>
    <t>Los Angeles</t>
  </si>
  <si>
    <t>Books</t>
  </si>
  <si>
    <t>Customer_173</t>
  </si>
  <si>
    <t>New York</t>
  </si>
  <si>
    <t>Food</t>
  </si>
  <si>
    <t>Customer_85</t>
  </si>
  <si>
    <t>Houston</t>
  </si>
  <si>
    <t>Clothing</t>
  </si>
  <si>
    <t>Customer_200</t>
  </si>
  <si>
    <t>Phoenix</t>
  </si>
  <si>
    <t>Customer_61</t>
  </si>
  <si>
    <t>Customer_156</t>
  </si>
  <si>
    <t>Electronics</t>
  </si>
  <si>
    <t>Customer_46</t>
  </si>
  <si>
    <t>Female</t>
  </si>
  <si>
    <t>Customer_183</t>
  </si>
  <si>
    <t>12/20/2023</t>
  </si>
  <si>
    <t>Customer_10</t>
  </si>
  <si>
    <t>Chicago</t>
  </si>
  <si>
    <t>10/15/2023</t>
  </si>
  <si>
    <t>Customer_197</t>
  </si>
  <si>
    <t>Customer_137</t>
  </si>
  <si>
    <t>Customer_188</t>
  </si>
  <si>
    <t>Customer_65</t>
  </si>
  <si>
    <t>Customer_127</t>
  </si>
  <si>
    <t>Customer_16</t>
  </si>
  <si>
    <t>Customer_74</t>
  </si>
  <si>
    <t>Customer_166</t>
  </si>
  <si>
    <t>Customer_19</t>
  </si>
  <si>
    <t>Customer_169</t>
  </si>
  <si>
    <t>Customer_94</t>
  </si>
  <si>
    <t>Customer_76</t>
  </si>
  <si>
    <t>11/24/2023</t>
  </si>
  <si>
    <t>Customer_56</t>
  </si>
  <si>
    <t>Customer_148</t>
  </si>
  <si>
    <t>05/14/2023</t>
  </si>
  <si>
    <t>Customer_110</t>
  </si>
  <si>
    <t>Customer_109</t>
  </si>
  <si>
    <t>Customer_143</t>
  </si>
  <si>
    <t>Customer_26</t>
  </si>
  <si>
    <t>Customer_126</t>
  </si>
  <si>
    <t>Customer_17</t>
  </si>
  <si>
    <t>03/21/2023</t>
  </si>
  <si>
    <t>Customer_174</t>
  </si>
  <si>
    <t>Customer_193</t>
  </si>
  <si>
    <t>11/14/2023</t>
  </si>
  <si>
    <t>Customer_70</t>
  </si>
  <si>
    <t>Customer_102</t>
  </si>
  <si>
    <t>Customer_68</t>
  </si>
  <si>
    <t>Customer_105</t>
  </si>
  <si>
    <t>04/20/2023</t>
  </si>
  <si>
    <t>Customer_133</t>
  </si>
  <si>
    <t>Customer_181</t>
  </si>
  <si>
    <t>Customer_96</t>
  </si>
  <si>
    <t>Customer_83</t>
  </si>
  <si>
    <t>01/30/2023</t>
  </si>
  <si>
    <t>Customer_160</t>
  </si>
  <si>
    <t>Customer_198</t>
  </si>
  <si>
    <t>Customer_163</t>
  </si>
  <si>
    <t>Customer_151</t>
  </si>
  <si>
    <t>07/22/2023</t>
  </si>
  <si>
    <t>Customer_97</t>
  </si>
  <si>
    <t>10/29/2023</t>
  </si>
  <si>
    <t>Customer_142</t>
  </si>
  <si>
    <t>Customer_69</t>
  </si>
  <si>
    <t>Customer_157</t>
  </si>
  <si>
    <t>Customer_87</t>
  </si>
  <si>
    <t>Customer_101</t>
  </si>
  <si>
    <t>Customer_39</t>
  </si>
  <si>
    <t>Customer_25</t>
  </si>
  <si>
    <t>Customer_184</t>
  </si>
  <si>
    <t>Customer_118</t>
  </si>
  <si>
    <t>Customer_30</t>
  </si>
  <si>
    <t>Customer_20</t>
  </si>
  <si>
    <t>Customer_136</t>
  </si>
  <si>
    <t>Customer_140</t>
  </si>
  <si>
    <t>Customer_67</t>
  </si>
  <si>
    <t>Customer_66</t>
  </si>
  <si>
    <t>Customer_6</t>
  </si>
  <si>
    <t>Customer_147</t>
  </si>
  <si>
    <t>Customer_57</t>
  </si>
  <si>
    <t>Customer_98</t>
  </si>
  <si>
    <t>Customer_129</t>
  </si>
  <si>
    <t>Customer_80</t>
  </si>
  <si>
    <t>Customer_8</t>
  </si>
  <si>
    <t>02/17/2023</t>
  </si>
  <si>
    <t>Customer_1</t>
  </si>
  <si>
    <t>Customer_32</t>
  </si>
  <si>
    <t>Customer_13</t>
  </si>
  <si>
    <t>Customer_36</t>
  </si>
  <si>
    <t>Customer_29</t>
  </si>
  <si>
    <t>01/24/2023</t>
  </si>
  <si>
    <t>Customer_43</t>
  </si>
  <si>
    <t>Customer_116</t>
  </si>
  <si>
    <t>Customer_99</t>
  </si>
  <si>
    <t>Customer_144</t>
  </si>
  <si>
    <t>10/19/2023</t>
  </si>
  <si>
    <t>Customer_52</t>
  </si>
  <si>
    <t>03/13/2023</t>
  </si>
  <si>
    <t>Customer_119</t>
  </si>
  <si>
    <t>Customer_171</t>
  </si>
  <si>
    <t>06/25/2023</t>
  </si>
  <si>
    <t>Customer_77</t>
  </si>
  <si>
    <t>Customer_42</t>
  </si>
  <si>
    <t>Customer_7</t>
  </si>
  <si>
    <t>Customer_79</t>
  </si>
  <si>
    <t>Customer_125</t>
  </si>
  <si>
    <t>Customer_27</t>
  </si>
  <si>
    <t>10/23/2023</t>
  </si>
  <si>
    <t>Customer_141</t>
  </si>
  <si>
    <t>Customer_179</t>
  </si>
  <si>
    <t>Customer_123</t>
  </si>
  <si>
    <t>Customer_3</t>
  </si>
  <si>
    <t>Customer_78</t>
  </si>
  <si>
    <t>Customer_47</t>
  </si>
  <si>
    <t>Customer_128</t>
  </si>
  <si>
    <t>01/31/2023</t>
  </si>
  <si>
    <t>Customer_113</t>
  </si>
  <si>
    <t>Customer_91</t>
  </si>
  <si>
    <t>Customer_86</t>
  </si>
  <si>
    <t>Customer_37</t>
  </si>
  <si>
    <t>Customer_120</t>
  </si>
  <si>
    <t>08/25/2023</t>
  </si>
  <si>
    <t>Customer_62</t>
  </si>
  <si>
    <t>Customer_23</t>
  </si>
  <si>
    <t>Customer_139</t>
  </si>
  <si>
    <t>Customer_112</t>
  </si>
  <si>
    <t>Customer_34</t>
  </si>
  <si>
    <t>Customer_12</t>
  </si>
  <si>
    <t>Customer_168</t>
  </si>
  <si>
    <t>Customer_28</t>
  </si>
  <si>
    <t>Customer_172</t>
  </si>
  <si>
    <t>Customer_161</t>
  </si>
  <si>
    <t>Customer_145</t>
  </si>
  <si>
    <t>Customer_5</t>
  </si>
  <si>
    <t>Customer_33</t>
  </si>
  <si>
    <t>Customer_114</t>
  </si>
  <si>
    <t>Customer_153</t>
  </si>
  <si>
    <t>Customer_121</t>
  </si>
  <si>
    <t>Customer_195</t>
  </si>
  <si>
    <t>Customer_115</t>
  </si>
  <si>
    <t>Customer_11</t>
  </si>
  <si>
    <t>Customer_63</t>
  </si>
  <si>
    <t>Customer_149</t>
  </si>
  <si>
    <t>Customer_154</t>
  </si>
  <si>
    <t>Customer_177</t>
  </si>
  <si>
    <t>Customer_190</t>
  </si>
  <si>
    <t>12/16/2023</t>
  </si>
  <si>
    <t>Customer_185</t>
  </si>
  <si>
    <t>Customer_71</t>
  </si>
  <si>
    <t>Customer_164</t>
  </si>
  <si>
    <t>Customer_45</t>
  </si>
  <si>
    <t>Customer_138</t>
  </si>
  <si>
    <t>09/15/2023</t>
  </si>
  <si>
    <t>Customer_41</t>
  </si>
  <si>
    <t>Customer_124</t>
  </si>
  <si>
    <t>Customer_24</t>
  </si>
  <si>
    <t>Customer_159</t>
  </si>
  <si>
    <t>Customer_155</t>
  </si>
  <si>
    <t>Customer_82</t>
  </si>
  <si>
    <t>Customer_40</t>
  </si>
  <si>
    <t>Customer_178</t>
  </si>
  <si>
    <t>Customer_48</t>
  </si>
  <si>
    <t>Customer_95</t>
  </si>
  <si>
    <t>Customer_162</t>
  </si>
  <si>
    <t>Customer_44</t>
  </si>
  <si>
    <t>01/29/2023</t>
  </si>
  <si>
    <t>Customer_146</t>
  </si>
  <si>
    <t>Customer_4</t>
  </si>
  <si>
    <t>Customer_106</t>
  </si>
  <si>
    <t>Customer_54</t>
  </si>
  <si>
    <t>Customer_134</t>
  </si>
  <si>
    <t>Customer_191</t>
  </si>
  <si>
    <t>Customer_165</t>
  </si>
  <si>
    <t>Customer_196</t>
  </si>
  <si>
    <t>01/13/2023</t>
  </si>
  <si>
    <t>Customer_50</t>
  </si>
  <si>
    <t>Customer_81</t>
  </si>
  <si>
    <t>Customer_35</t>
  </si>
  <si>
    <t>Customer_111</t>
  </si>
  <si>
    <t>Customer_92</t>
  </si>
  <si>
    <t>Customer_84</t>
  </si>
  <si>
    <t>Customer_187</t>
  </si>
  <si>
    <t>Customer_192</t>
  </si>
  <si>
    <t>Customer_90</t>
  </si>
  <si>
    <t>04/19/2023</t>
  </si>
  <si>
    <t>Customer_9</t>
  </si>
  <si>
    <t>Customer_14</t>
  </si>
  <si>
    <t>Customer_60</t>
  </si>
  <si>
    <t>11/18/2023</t>
  </si>
  <si>
    <t>Customer_182</t>
  </si>
  <si>
    <t>Customer_132</t>
  </si>
  <si>
    <t>Customer_18</t>
  </si>
  <si>
    <t>Customer_167</t>
  </si>
  <si>
    <t>Customer_73</t>
  </si>
  <si>
    <t>05/15/2023</t>
  </si>
  <si>
    <t>Customer_186</t>
  </si>
  <si>
    <t>Customer_135</t>
  </si>
  <si>
    <t>Customer_176</t>
  </si>
  <si>
    <t>Customer_194</t>
  </si>
  <si>
    <t>Customer_64</t>
  </si>
  <si>
    <t>Customer_55</t>
  </si>
  <si>
    <t>Customer_108</t>
  </si>
  <si>
    <t>07/28/2023</t>
  </si>
  <si>
    <t>Customer_51</t>
  </si>
  <si>
    <t>Customer_175</t>
  </si>
  <si>
    <t>Customer_170</t>
  </si>
  <si>
    <t>Customer_59</t>
  </si>
  <si>
    <t>02/26/2023</t>
  </si>
  <si>
    <t>Customer_49</t>
  </si>
  <si>
    <t>Customer_89</t>
  </si>
  <si>
    <t>Customer_22</t>
  </si>
  <si>
    <t>Customer_58</t>
  </si>
  <si>
    <t>Customer_130</t>
  </si>
  <si>
    <t>Customer_38</t>
  </si>
  <si>
    <t>Customer_158</t>
  </si>
  <si>
    <t>Customer_199</t>
  </si>
  <si>
    <t>05/17/2023</t>
  </si>
  <si>
    <t>Customer_2</t>
  </si>
  <si>
    <t>Customer_53</t>
  </si>
  <si>
    <t>Customer_150</t>
  </si>
  <si>
    <t>Customer_131</t>
  </si>
  <si>
    <t>Customer_152</t>
  </si>
  <si>
    <t>Customer_104</t>
  </si>
  <si>
    <t>Customer_100</t>
  </si>
  <si>
    <t>Customer_117</t>
  </si>
  <si>
    <t>Customer_88</t>
  </si>
  <si>
    <t>Customer_75</t>
  </si>
  <si>
    <t>Customer_122</t>
  </si>
  <si>
    <t>Customer_21</t>
  </si>
  <si>
    <t>Customer_189</t>
  </si>
  <si>
    <t>Customer_72</t>
  </si>
  <si>
    <t>Customer_107</t>
  </si>
  <si>
    <t>Customer_15</t>
  </si>
  <si>
    <t>Customer_93</t>
  </si>
  <si>
    <t>Customer_180</t>
  </si>
  <si>
    <t>Customer_103</t>
  </si>
  <si>
    <t>DATA DICTIONARY</t>
  </si>
  <si>
    <t>Column Name</t>
  </si>
  <si>
    <t>Data Type</t>
  </si>
  <si>
    <t>Description</t>
  </si>
  <si>
    <t>Issues to Fix</t>
  </si>
  <si>
    <t>Integer</t>
  </si>
  <si>
    <t>Unique customer identifier</t>
  </si>
  <si>
    <t>None</t>
  </si>
  <si>
    <t>Text</t>
  </si>
  <si>
    <t>Customer name</t>
  </si>
  <si>
    <t>Customer age (18-75 years)</t>
  </si>
  <si>
    <t>~15% missing values</t>
  </si>
  <si>
    <t>Category</t>
  </si>
  <si>
    <t>Customer gender</t>
  </si>
  <si>
    <t>Inconsistent values: Male/Female/M/F/male/MALE + missing</t>
  </si>
  <si>
    <t>Customer city</t>
  </si>
  <si>
    <t>Inconsistent capitalization</t>
  </si>
  <si>
    <t>Date</t>
  </si>
  <si>
    <t>Date of purchase</t>
  </si>
  <si>
    <t>Multiple date formats (YYYY-MM-DD, MM/DD/YYYY, etc.)</t>
  </si>
  <si>
    <t>Product category purchased</t>
  </si>
  <si>
    <t>Float</t>
  </si>
  <si>
    <t>Purchase amount in dollars</t>
  </si>
  <si>
    <t>~15% missing + outliers present</t>
  </si>
  <si>
    <t>Quantity purchased (1-10)</t>
  </si>
  <si>
    <t>Rating 1-5 (1=poor, 5=excellent)</t>
  </si>
  <si>
    <t>Delivery time in days (1-15)</t>
  </si>
  <si>
    <t>~14% missing values</t>
  </si>
  <si>
    <t>Not specified</t>
  </si>
  <si>
    <t>Unit Price</t>
  </si>
  <si>
    <t>2.Using Excel formulas to count blanks: =COUNTBLANK(range)</t>
  </si>
  <si>
    <t>1."Raw_Data" sheet containing data  and  used to examine the dataset</t>
  </si>
  <si>
    <t>Options: Delete rows with CTRL+- or fill with median/mode (only if data is not needed)</t>
  </si>
  <si>
    <t>3.To remove duplicates -- Data → Data Tools → Remove Duplicates</t>
  </si>
  <si>
    <t>4.Fixed inconsistent Gender, City, ProductCategory values</t>
  </si>
  <si>
    <t xml:space="preserve">  • Gender: Standardized to Male/Female</t>
  </si>
  <si>
    <t xml:space="preserve">  • City: Fixed capitalization (New York, Chicago, etc.)</t>
  </si>
  <si>
    <t xml:space="preserve">  • ProductCategory: Standardized capitalization</t>
  </si>
  <si>
    <t>5.Converted all dates to consistent format (YYYY-MM-DD)</t>
  </si>
  <si>
    <t>Used =CORREL(array1, array2) for numerical features</t>
  </si>
  <si>
    <t xml:space="preserve">Books </t>
  </si>
  <si>
    <t>Average Amount</t>
  </si>
  <si>
    <t>Grand Total</t>
  </si>
  <si>
    <t>Product Category</t>
  </si>
  <si>
    <t>Customer_ID</t>
  </si>
  <si>
    <t xml:space="preserve">DATA CLEANING AND EDA </t>
  </si>
  <si>
    <t>SUMMARY STATISTICS</t>
  </si>
  <si>
    <t>Stastistic</t>
  </si>
  <si>
    <t>Std Dev</t>
  </si>
  <si>
    <t xml:space="preserve">Min </t>
  </si>
  <si>
    <t>Max</t>
  </si>
  <si>
    <t>Purchase amount</t>
  </si>
  <si>
    <t xml:space="preserve">Delivery time </t>
  </si>
  <si>
    <t>Mean (Average)</t>
  </si>
  <si>
    <t>FREQUENCY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</si>
</sst>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yyyy/mm/dd;@"/>
    <numFmt numFmtId="165" formatCode="_-[$$-409]* #,##0.00_ ;_-[$$-409]* \-#,##0.00\ ;_-[$$-409]* &quot;-&quot;??_ ;_-@_ "/>
    <numFmt numFmtId="166" formatCode="[$$-C09]#,##0.00"/>
    <numFmt numFmtId="167" formatCode="[$$-C09]#,##0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color rgb="FF1F4E78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1"/>
      <color rgb="FFFFFFFF"/>
      <name val="Arial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3" fillId="4" borderId="0" xfId="0" applyFont="1" applyFill="1"/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/>
    </xf>
    <xf numFmtId="49" fontId="0" fillId="0" borderId="1" xfId="0" applyNumberFormat="1" applyBorder="1"/>
    <xf numFmtId="1" fontId="0" fillId="0" borderId="0" xfId="0" applyNumberFormat="1"/>
    <xf numFmtId="49" fontId="3" fillId="4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164" fontId="0" fillId="0" borderId="1" xfId="0" applyNumberFormat="1" applyBorder="1"/>
    <xf numFmtId="164" fontId="3" fillId="4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4" borderId="1" xfId="0" applyNumberFormat="1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2" fillId="3" borderId="1" xfId="0" applyFont="1" applyFill="1" applyBorder="1"/>
    <xf numFmtId="165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6" fontId="0" fillId="0" borderId="1" xfId="0" applyNumberFormat="1" applyBorder="1"/>
    <xf numFmtId="1" fontId="0" fillId="0" borderId="6" xfId="0" applyNumberFormat="1" applyBorder="1"/>
    <xf numFmtId="0" fontId="0" fillId="0" borderId="7" xfId="0" applyBorder="1"/>
    <xf numFmtId="1" fontId="0" fillId="0" borderId="8" xfId="0" applyNumberFormat="1" applyBorder="1"/>
    <xf numFmtId="167" fontId="0" fillId="0" borderId="8" xfId="0" applyNumberFormat="1" applyBorder="1"/>
    <xf numFmtId="1" fontId="0" fillId="0" borderId="9" xfId="0" applyNumberFormat="1" applyBorder="1"/>
    <xf numFmtId="0" fontId="0" fillId="0" borderId="6" xfId="0" pivotButton="1" applyBorder="1" applyAlignment="1">
      <alignment horizontal="center"/>
    </xf>
    <xf numFmtId="0" fontId="0" fillId="6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0" xfId="0" applyFont="1" applyFill="1"/>
    <xf numFmtId="0" fontId="0" fillId="0" borderId="0" xfId="0"/>
    <xf numFmtId="0" fontId="6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23"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$-C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</border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2"/>
                </a:solidFill>
              </a:rPr>
              <a:t>Age</a:t>
            </a:r>
            <a:r>
              <a:rPr lang="en-IN" baseline="0">
                <a:solidFill>
                  <a:schemeClr val="tx2"/>
                </a:solidFill>
              </a:rPr>
              <a:t> vs Purcahse amount</a:t>
            </a:r>
            <a:endParaRPr lang="en-IN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Cleaned_data!$C$2:$C$201</c:f>
              <c:numCache>
                <c:formatCode>0</c:formatCode>
                <c:ptCount val="200"/>
                <c:pt idx="0">
                  <c:v>56</c:v>
                </c:pt>
                <c:pt idx="1">
                  <c:v>69</c:v>
                </c:pt>
                <c:pt idx="2">
                  <c:v>46</c:v>
                </c:pt>
                <c:pt idx="3">
                  <c:v>32</c:v>
                </c:pt>
                <c:pt idx="4">
                  <c:v>43.5</c:v>
                </c:pt>
                <c:pt idx="5">
                  <c:v>25</c:v>
                </c:pt>
                <c:pt idx="6">
                  <c:v>38</c:v>
                </c:pt>
                <c:pt idx="7">
                  <c:v>56</c:v>
                </c:pt>
                <c:pt idx="8">
                  <c:v>36</c:v>
                </c:pt>
                <c:pt idx="9">
                  <c:v>43.5</c:v>
                </c:pt>
                <c:pt idx="10">
                  <c:v>28</c:v>
                </c:pt>
                <c:pt idx="11">
                  <c:v>28</c:v>
                </c:pt>
                <c:pt idx="12">
                  <c:v>41</c:v>
                </c:pt>
                <c:pt idx="13">
                  <c:v>70</c:v>
                </c:pt>
                <c:pt idx="14">
                  <c:v>53</c:v>
                </c:pt>
                <c:pt idx="15">
                  <c:v>57</c:v>
                </c:pt>
                <c:pt idx="16">
                  <c:v>41</c:v>
                </c:pt>
                <c:pt idx="17">
                  <c:v>20</c:v>
                </c:pt>
                <c:pt idx="18">
                  <c:v>39</c:v>
                </c:pt>
                <c:pt idx="19">
                  <c:v>70</c:v>
                </c:pt>
                <c:pt idx="20">
                  <c:v>19</c:v>
                </c:pt>
                <c:pt idx="21">
                  <c:v>41</c:v>
                </c:pt>
                <c:pt idx="22">
                  <c:v>61</c:v>
                </c:pt>
                <c:pt idx="23">
                  <c:v>47</c:v>
                </c:pt>
                <c:pt idx="24">
                  <c:v>55</c:v>
                </c:pt>
                <c:pt idx="25">
                  <c:v>19</c:v>
                </c:pt>
                <c:pt idx="26">
                  <c:v>38</c:v>
                </c:pt>
                <c:pt idx="27">
                  <c:v>50</c:v>
                </c:pt>
                <c:pt idx="28">
                  <c:v>29</c:v>
                </c:pt>
                <c:pt idx="29">
                  <c:v>39</c:v>
                </c:pt>
                <c:pt idx="30">
                  <c:v>61</c:v>
                </c:pt>
                <c:pt idx="31">
                  <c:v>42</c:v>
                </c:pt>
                <c:pt idx="32">
                  <c:v>66</c:v>
                </c:pt>
                <c:pt idx="33">
                  <c:v>44</c:v>
                </c:pt>
                <c:pt idx="34">
                  <c:v>59</c:v>
                </c:pt>
                <c:pt idx="35">
                  <c:v>45</c:v>
                </c:pt>
                <c:pt idx="36">
                  <c:v>33</c:v>
                </c:pt>
                <c:pt idx="37">
                  <c:v>32</c:v>
                </c:pt>
                <c:pt idx="38">
                  <c:v>64</c:v>
                </c:pt>
                <c:pt idx="39">
                  <c:v>68</c:v>
                </c:pt>
                <c:pt idx="40">
                  <c:v>61</c:v>
                </c:pt>
                <c:pt idx="41">
                  <c:v>43.5</c:v>
                </c:pt>
                <c:pt idx="42">
                  <c:v>43.5</c:v>
                </c:pt>
                <c:pt idx="43">
                  <c:v>74</c:v>
                </c:pt>
                <c:pt idx="44">
                  <c:v>20</c:v>
                </c:pt>
                <c:pt idx="45">
                  <c:v>54</c:v>
                </c:pt>
                <c:pt idx="46">
                  <c:v>68</c:v>
                </c:pt>
                <c:pt idx="47">
                  <c:v>24</c:v>
                </c:pt>
                <c:pt idx="48">
                  <c:v>38</c:v>
                </c:pt>
                <c:pt idx="49">
                  <c:v>26</c:v>
                </c:pt>
                <c:pt idx="50">
                  <c:v>56</c:v>
                </c:pt>
                <c:pt idx="51">
                  <c:v>35</c:v>
                </c:pt>
                <c:pt idx="52">
                  <c:v>21</c:v>
                </c:pt>
                <c:pt idx="53">
                  <c:v>42</c:v>
                </c:pt>
                <c:pt idx="54">
                  <c:v>31</c:v>
                </c:pt>
                <c:pt idx="55">
                  <c:v>67</c:v>
                </c:pt>
                <c:pt idx="56">
                  <c:v>26</c:v>
                </c:pt>
                <c:pt idx="57">
                  <c:v>43</c:v>
                </c:pt>
                <c:pt idx="58">
                  <c:v>70</c:v>
                </c:pt>
                <c:pt idx="59">
                  <c:v>19</c:v>
                </c:pt>
                <c:pt idx="60">
                  <c:v>37</c:v>
                </c:pt>
                <c:pt idx="61">
                  <c:v>45</c:v>
                </c:pt>
                <c:pt idx="62">
                  <c:v>64</c:v>
                </c:pt>
                <c:pt idx="63">
                  <c:v>24</c:v>
                </c:pt>
                <c:pt idx="64">
                  <c:v>61</c:v>
                </c:pt>
                <c:pt idx="65">
                  <c:v>43.5</c:v>
                </c:pt>
                <c:pt idx="66">
                  <c:v>64</c:v>
                </c:pt>
                <c:pt idx="67">
                  <c:v>52</c:v>
                </c:pt>
                <c:pt idx="68">
                  <c:v>31</c:v>
                </c:pt>
                <c:pt idx="69">
                  <c:v>34</c:v>
                </c:pt>
                <c:pt idx="70">
                  <c:v>43.5</c:v>
                </c:pt>
                <c:pt idx="71">
                  <c:v>43.5</c:v>
                </c:pt>
                <c:pt idx="72">
                  <c:v>57</c:v>
                </c:pt>
                <c:pt idx="73">
                  <c:v>21</c:v>
                </c:pt>
                <c:pt idx="74">
                  <c:v>19</c:v>
                </c:pt>
                <c:pt idx="75">
                  <c:v>23</c:v>
                </c:pt>
                <c:pt idx="76">
                  <c:v>71</c:v>
                </c:pt>
                <c:pt idx="77">
                  <c:v>59</c:v>
                </c:pt>
                <c:pt idx="78">
                  <c:v>21</c:v>
                </c:pt>
                <c:pt idx="79">
                  <c:v>71</c:v>
                </c:pt>
                <c:pt idx="80">
                  <c:v>46</c:v>
                </c:pt>
                <c:pt idx="81">
                  <c:v>35</c:v>
                </c:pt>
                <c:pt idx="82">
                  <c:v>43.5</c:v>
                </c:pt>
                <c:pt idx="83">
                  <c:v>61</c:v>
                </c:pt>
                <c:pt idx="84">
                  <c:v>51</c:v>
                </c:pt>
                <c:pt idx="85">
                  <c:v>43.5</c:v>
                </c:pt>
                <c:pt idx="86">
                  <c:v>53</c:v>
                </c:pt>
                <c:pt idx="87">
                  <c:v>31</c:v>
                </c:pt>
                <c:pt idx="88">
                  <c:v>48</c:v>
                </c:pt>
                <c:pt idx="89">
                  <c:v>43.5</c:v>
                </c:pt>
                <c:pt idx="90">
                  <c:v>32</c:v>
                </c:pt>
                <c:pt idx="91">
                  <c:v>25</c:v>
                </c:pt>
                <c:pt idx="92">
                  <c:v>31</c:v>
                </c:pt>
                <c:pt idx="93">
                  <c:v>40</c:v>
                </c:pt>
                <c:pt idx="94">
                  <c:v>74</c:v>
                </c:pt>
                <c:pt idx="95">
                  <c:v>57</c:v>
                </c:pt>
                <c:pt idx="96">
                  <c:v>38</c:v>
                </c:pt>
                <c:pt idx="97">
                  <c:v>33</c:v>
                </c:pt>
                <c:pt idx="98">
                  <c:v>62</c:v>
                </c:pt>
                <c:pt idx="99">
                  <c:v>35</c:v>
                </c:pt>
                <c:pt idx="100">
                  <c:v>64</c:v>
                </c:pt>
                <c:pt idx="101">
                  <c:v>70</c:v>
                </c:pt>
                <c:pt idx="102">
                  <c:v>41</c:v>
                </c:pt>
                <c:pt idx="103">
                  <c:v>43</c:v>
                </c:pt>
                <c:pt idx="104">
                  <c:v>42</c:v>
                </c:pt>
                <c:pt idx="105">
                  <c:v>62</c:v>
                </c:pt>
                <c:pt idx="106">
                  <c:v>58</c:v>
                </c:pt>
                <c:pt idx="107">
                  <c:v>46</c:v>
                </c:pt>
                <c:pt idx="108">
                  <c:v>32</c:v>
                </c:pt>
                <c:pt idx="109">
                  <c:v>62</c:v>
                </c:pt>
                <c:pt idx="110">
                  <c:v>18</c:v>
                </c:pt>
                <c:pt idx="111">
                  <c:v>42</c:v>
                </c:pt>
                <c:pt idx="112">
                  <c:v>24</c:v>
                </c:pt>
                <c:pt idx="113">
                  <c:v>26</c:v>
                </c:pt>
                <c:pt idx="114">
                  <c:v>41</c:v>
                </c:pt>
                <c:pt idx="115">
                  <c:v>18</c:v>
                </c:pt>
                <c:pt idx="116">
                  <c:v>43.5</c:v>
                </c:pt>
                <c:pt idx="117">
                  <c:v>25</c:v>
                </c:pt>
                <c:pt idx="118">
                  <c:v>43.5</c:v>
                </c:pt>
                <c:pt idx="119">
                  <c:v>28</c:v>
                </c:pt>
                <c:pt idx="120">
                  <c:v>68</c:v>
                </c:pt>
                <c:pt idx="121">
                  <c:v>34</c:v>
                </c:pt>
                <c:pt idx="122">
                  <c:v>25</c:v>
                </c:pt>
                <c:pt idx="123">
                  <c:v>52</c:v>
                </c:pt>
                <c:pt idx="124">
                  <c:v>52</c:v>
                </c:pt>
                <c:pt idx="125">
                  <c:v>43.5</c:v>
                </c:pt>
                <c:pt idx="126">
                  <c:v>22</c:v>
                </c:pt>
                <c:pt idx="127">
                  <c:v>59</c:v>
                </c:pt>
                <c:pt idx="128">
                  <c:v>43.5</c:v>
                </c:pt>
                <c:pt idx="129">
                  <c:v>58</c:v>
                </c:pt>
                <c:pt idx="130">
                  <c:v>45</c:v>
                </c:pt>
                <c:pt idx="131">
                  <c:v>24</c:v>
                </c:pt>
                <c:pt idx="132">
                  <c:v>26</c:v>
                </c:pt>
                <c:pt idx="133">
                  <c:v>43.5</c:v>
                </c:pt>
                <c:pt idx="134">
                  <c:v>43.5</c:v>
                </c:pt>
                <c:pt idx="135">
                  <c:v>51</c:v>
                </c:pt>
                <c:pt idx="136">
                  <c:v>43.5</c:v>
                </c:pt>
                <c:pt idx="137">
                  <c:v>65</c:v>
                </c:pt>
                <c:pt idx="138">
                  <c:v>43.5</c:v>
                </c:pt>
                <c:pt idx="139">
                  <c:v>40</c:v>
                </c:pt>
                <c:pt idx="140">
                  <c:v>41</c:v>
                </c:pt>
                <c:pt idx="141">
                  <c:v>43.5</c:v>
                </c:pt>
                <c:pt idx="142">
                  <c:v>52</c:v>
                </c:pt>
                <c:pt idx="143">
                  <c:v>61</c:v>
                </c:pt>
                <c:pt idx="144">
                  <c:v>57</c:v>
                </c:pt>
                <c:pt idx="145">
                  <c:v>43.5</c:v>
                </c:pt>
                <c:pt idx="146">
                  <c:v>44</c:v>
                </c:pt>
                <c:pt idx="147">
                  <c:v>43.5</c:v>
                </c:pt>
                <c:pt idx="148">
                  <c:v>18</c:v>
                </c:pt>
                <c:pt idx="149">
                  <c:v>52</c:v>
                </c:pt>
                <c:pt idx="150">
                  <c:v>54</c:v>
                </c:pt>
                <c:pt idx="151">
                  <c:v>64</c:v>
                </c:pt>
                <c:pt idx="152">
                  <c:v>31</c:v>
                </c:pt>
                <c:pt idx="153">
                  <c:v>20</c:v>
                </c:pt>
                <c:pt idx="154">
                  <c:v>18</c:v>
                </c:pt>
                <c:pt idx="155">
                  <c:v>22</c:v>
                </c:pt>
                <c:pt idx="156">
                  <c:v>43</c:v>
                </c:pt>
                <c:pt idx="157">
                  <c:v>72</c:v>
                </c:pt>
                <c:pt idx="158">
                  <c:v>31</c:v>
                </c:pt>
                <c:pt idx="159">
                  <c:v>43.5</c:v>
                </c:pt>
                <c:pt idx="160">
                  <c:v>43.5</c:v>
                </c:pt>
                <c:pt idx="161">
                  <c:v>26</c:v>
                </c:pt>
                <c:pt idx="162">
                  <c:v>32</c:v>
                </c:pt>
                <c:pt idx="163">
                  <c:v>32</c:v>
                </c:pt>
                <c:pt idx="164">
                  <c:v>43</c:v>
                </c:pt>
                <c:pt idx="165">
                  <c:v>59</c:v>
                </c:pt>
                <c:pt idx="166">
                  <c:v>30</c:v>
                </c:pt>
                <c:pt idx="167">
                  <c:v>68</c:v>
                </c:pt>
                <c:pt idx="168">
                  <c:v>49</c:v>
                </c:pt>
                <c:pt idx="169">
                  <c:v>56</c:v>
                </c:pt>
                <c:pt idx="170">
                  <c:v>66</c:v>
                </c:pt>
                <c:pt idx="171">
                  <c:v>69</c:v>
                </c:pt>
                <c:pt idx="172">
                  <c:v>43.5</c:v>
                </c:pt>
                <c:pt idx="173">
                  <c:v>21</c:v>
                </c:pt>
                <c:pt idx="174">
                  <c:v>47</c:v>
                </c:pt>
                <c:pt idx="175">
                  <c:v>54</c:v>
                </c:pt>
                <c:pt idx="176">
                  <c:v>40</c:v>
                </c:pt>
                <c:pt idx="177">
                  <c:v>56</c:v>
                </c:pt>
                <c:pt idx="178">
                  <c:v>43.5</c:v>
                </c:pt>
                <c:pt idx="179">
                  <c:v>32</c:v>
                </c:pt>
                <c:pt idx="180">
                  <c:v>60</c:v>
                </c:pt>
                <c:pt idx="181">
                  <c:v>46</c:v>
                </c:pt>
                <c:pt idx="182">
                  <c:v>43.5</c:v>
                </c:pt>
                <c:pt idx="183">
                  <c:v>43.5</c:v>
                </c:pt>
                <c:pt idx="184">
                  <c:v>49</c:v>
                </c:pt>
                <c:pt idx="185">
                  <c:v>24</c:v>
                </c:pt>
                <c:pt idx="186">
                  <c:v>68</c:v>
                </c:pt>
                <c:pt idx="187">
                  <c:v>39</c:v>
                </c:pt>
                <c:pt idx="188">
                  <c:v>45</c:v>
                </c:pt>
                <c:pt idx="189">
                  <c:v>19</c:v>
                </c:pt>
                <c:pt idx="190">
                  <c:v>59</c:v>
                </c:pt>
                <c:pt idx="191">
                  <c:v>62</c:v>
                </c:pt>
                <c:pt idx="192">
                  <c:v>74</c:v>
                </c:pt>
                <c:pt idx="193">
                  <c:v>70</c:v>
                </c:pt>
                <c:pt idx="194">
                  <c:v>43.5</c:v>
                </c:pt>
                <c:pt idx="195">
                  <c:v>45</c:v>
                </c:pt>
                <c:pt idx="196">
                  <c:v>43.5</c:v>
                </c:pt>
                <c:pt idx="197">
                  <c:v>43.5</c:v>
                </c:pt>
                <c:pt idx="198">
                  <c:v>61</c:v>
                </c:pt>
                <c:pt idx="199">
                  <c:v>37</c:v>
                </c:pt>
              </c:numCache>
            </c:numRef>
          </c:xVal>
          <c:yVal>
            <c:numRef>
              <c:f>Cleaned_data!$H$2:$H$201</c:f>
              <c:numCache>
                <c:formatCode>0</c:formatCode>
                <c:ptCount val="200"/>
                <c:pt idx="0">
                  <c:v>86.96</c:v>
                </c:pt>
                <c:pt idx="1">
                  <c:v>974.65</c:v>
                </c:pt>
                <c:pt idx="2">
                  <c:v>986.35</c:v>
                </c:pt>
                <c:pt idx="3">
                  <c:v>701.18</c:v>
                </c:pt>
                <c:pt idx="4">
                  <c:v>540.74</c:v>
                </c:pt>
                <c:pt idx="5">
                  <c:v>654.16747058823523</c:v>
                </c:pt>
                <c:pt idx="6">
                  <c:v>654.16747058823523</c:v>
                </c:pt>
                <c:pt idx="7">
                  <c:v>687.88</c:v>
                </c:pt>
                <c:pt idx="8">
                  <c:v>170.99</c:v>
                </c:pt>
                <c:pt idx="9">
                  <c:v>654.16747058823523</c:v>
                </c:pt>
                <c:pt idx="10">
                  <c:v>824.31</c:v>
                </c:pt>
                <c:pt idx="11">
                  <c:v>950.3</c:v>
                </c:pt>
                <c:pt idx="12">
                  <c:v>728.46</c:v>
                </c:pt>
                <c:pt idx="13">
                  <c:v>617.28</c:v>
                </c:pt>
                <c:pt idx="14">
                  <c:v>424.06</c:v>
                </c:pt>
                <c:pt idx="15">
                  <c:v>933.4</c:v>
                </c:pt>
                <c:pt idx="16">
                  <c:v>654.16747058823523</c:v>
                </c:pt>
                <c:pt idx="17">
                  <c:v>54.77</c:v>
                </c:pt>
                <c:pt idx="18">
                  <c:v>36.1</c:v>
                </c:pt>
                <c:pt idx="19">
                  <c:v>382.7</c:v>
                </c:pt>
                <c:pt idx="20">
                  <c:v>812.45</c:v>
                </c:pt>
                <c:pt idx="21">
                  <c:v>987.4</c:v>
                </c:pt>
                <c:pt idx="22">
                  <c:v>158.91</c:v>
                </c:pt>
                <c:pt idx="23">
                  <c:v>654.16747058823523</c:v>
                </c:pt>
                <c:pt idx="24">
                  <c:v>387.08</c:v>
                </c:pt>
                <c:pt idx="25">
                  <c:v>970.22</c:v>
                </c:pt>
                <c:pt idx="26">
                  <c:v>843.7</c:v>
                </c:pt>
                <c:pt idx="27">
                  <c:v>839.95</c:v>
                </c:pt>
                <c:pt idx="28">
                  <c:v>474.01</c:v>
                </c:pt>
                <c:pt idx="29">
                  <c:v>420.67</c:v>
                </c:pt>
                <c:pt idx="30">
                  <c:v>280.67</c:v>
                </c:pt>
                <c:pt idx="31">
                  <c:v>654.16747058823523</c:v>
                </c:pt>
                <c:pt idx="32">
                  <c:v>866.08</c:v>
                </c:pt>
                <c:pt idx="33">
                  <c:v>814.77</c:v>
                </c:pt>
                <c:pt idx="34">
                  <c:v>999.72</c:v>
                </c:pt>
                <c:pt idx="35">
                  <c:v>996.67</c:v>
                </c:pt>
                <c:pt idx="36">
                  <c:v>559.88</c:v>
                </c:pt>
                <c:pt idx="37">
                  <c:v>771.3</c:v>
                </c:pt>
                <c:pt idx="38">
                  <c:v>945.32</c:v>
                </c:pt>
                <c:pt idx="39">
                  <c:v>654.16747058823523</c:v>
                </c:pt>
                <c:pt idx="40">
                  <c:v>654.16747058823523</c:v>
                </c:pt>
                <c:pt idx="41">
                  <c:v>654.16747058823523</c:v>
                </c:pt>
                <c:pt idx="42">
                  <c:v>137.87</c:v>
                </c:pt>
                <c:pt idx="43">
                  <c:v>954.51</c:v>
                </c:pt>
                <c:pt idx="44">
                  <c:v>610.11</c:v>
                </c:pt>
                <c:pt idx="45">
                  <c:v>236.36</c:v>
                </c:pt>
                <c:pt idx="46">
                  <c:v>674.98</c:v>
                </c:pt>
                <c:pt idx="47">
                  <c:v>621.95000000000005</c:v>
                </c:pt>
                <c:pt idx="48">
                  <c:v>364.58</c:v>
                </c:pt>
                <c:pt idx="49">
                  <c:v>122.42</c:v>
                </c:pt>
                <c:pt idx="50">
                  <c:v>674.86</c:v>
                </c:pt>
                <c:pt idx="51">
                  <c:v>525.1</c:v>
                </c:pt>
                <c:pt idx="52">
                  <c:v>774.6</c:v>
                </c:pt>
                <c:pt idx="53">
                  <c:v>524.96</c:v>
                </c:pt>
                <c:pt idx="54">
                  <c:v>5397.03</c:v>
                </c:pt>
                <c:pt idx="55">
                  <c:v>654.16747058823523</c:v>
                </c:pt>
                <c:pt idx="56">
                  <c:v>565.33000000000004</c:v>
                </c:pt>
                <c:pt idx="57">
                  <c:v>877.89</c:v>
                </c:pt>
                <c:pt idx="58">
                  <c:v>409.45</c:v>
                </c:pt>
                <c:pt idx="59">
                  <c:v>142.68</c:v>
                </c:pt>
                <c:pt idx="60">
                  <c:v>654.16747058823523</c:v>
                </c:pt>
                <c:pt idx="61">
                  <c:v>757.59</c:v>
                </c:pt>
                <c:pt idx="62">
                  <c:v>624.11</c:v>
                </c:pt>
                <c:pt idx="63">
                  <c:v>654.16747058823523</c:v>
                </c:pt>
                <c:pt idx="64">
                  <c:v>220.83</c:v>
                </c:pt>
                <c:pt idx="65">
                  <c:v>145.01</c:v>
                </c:pt>
                <c:pt idx="66">
                  <c:v>24.4</c:v>
                </c:pt>
                <c:pt idx="67">
                  <c:v>357.08</c:v>
                </c:pt>
                <c:pt idx="68">
                  <c:v>594.02</c:v>
                </c:pt>
                <c:pt idx="69">
                  <c:v>398.32</c:v>
                </c:pt>
                <c:pt idx="70">
                  <c:v>443.1</c:v>
                </c:pt>
                <c:pt idx="71">
                  <c:v>905.12</c:v>
                </c:pt>
                <c:pt idx="72">
                  <c:v>354.77</c:v>
                </c:pt>
                <c:pt idx="73">
                  <c:v>518.85</c:v>
                </c:pt>
                <c:pt idx="74">
                  <c:v>785.82</c:v>
                </c:pt>
                <c:pt idx="75">
                  <c:v>402.58</c:v>
                </c:pt>
                <c:pt idx="76">
                  <c:v>625.87</c:v>
                </c:pt>
                <c:pt idx="77">
                  <c:v>863.74</c:v>
                </c:pt>
                <c:pt idx="78">
                  <c:v>950.03</c:v>
                </c:pt>
                <c:pt idx="79">
                  <c:v>155.6</c:v>
                </c:pt>
                <c:pt idx="80">
                  <c:v>927.32</c:v>
                </c:pt>
                <c:pt idx="81">
                  <c:v>497.2</c:v>
                </c:pt>
                <c:pt idx="82">
                  <c:v>265.66000000000003</c:v>
                </c:pt>
                <c:pt idx="83">
                  <c:v>464.54</c:v>
                </c:pt>
                <c:pt idx="84">
                  <c:v>980.23</c:v>
                </c:pt>
                <c:pt idx="85">
                  <c:v>497.69</c:v>
                </c:pt>
                <c:pt idx="86">
                  <c:v>335.46</c:v>
                </c:pt>
                <c:pt idx="87">
                  <c:v>637.07000000000005</c:v>
                </c:pt>
                <c:pt idx="88">
                  <c:v>247.74</c:v>
                </c:pt>
                <c:pt idx="89">
                  <c:v>85.1</c:v>
                </c:pt>
                <c:pt idx="90">
                  <c:v>7637</c:v>
                </c:pt>
                <c:pt idx="91">
                  <c:v>136.77000000000001</c:v>
                </c:pt>
                <c:pt idx="92">
                  <c:v>160.38</c:v>
                </c:pt>
                <c:pt idx="93">
                  <c:v>147.44</c:v>
                </c:pt>
                <c:pt idx="94">
                  <c:v>644.47</c:v>
                </c:pt>
                <c:pt idx="95">
                  <c:v>190.06</c:v>
                </c:pt>
                <c:pt idx="96">
                  <c:v>654.16747058823523</c:v>
                </c:pt>
                <c:pt idx="97">
                  <c:v>897.82</c:v>
                </c:pt>
                <c:pt idx="98">
                  <c:v>479.22</c:v>
                </c:pt>
                <c:pt idx="99">
                  <c:v>670.88</c:v>
                </c:pt>
                <c:pt idx="100">
                  <c:v>180.6</c:v>
                </c:pt>
                <c:pt idx="101">
                  <c:v>200.37</c:v>
                </c:pt>
                <c:pt idx="102">
                  <c:v>50.46</c:v>
                </c:pt>
                <c:pt idx="103">
                  <c:v>177.25</c:v>
                </c:pt>
                <c:pt idx="104">
                  <c:v>285.8</c:v>
                </c:pt>
                <c:pt idx="105">
                  <c:v>654.16747058823523</c:v>
                </c:pt>
                <c:pt idx="106">
                  <c:v>97.82</c:v>
                </c:pt>
                <c:pt idx="107">
                  <c:v>654.16747058823523</c:v>
                </c:pt>
                <c:pt idx="108">
                  <c:v>466.17</c:v>
                </c:pt>
                <c:pt idx="109">
                  <c:v>214.27</c:v>
                </c:pt>
                <c:pt idx="110">
                  <c:v>654.16747058823523</c:v>
                </c:pt>
                <c:pt idx="111">
                  <c:v>508.38</c:v>
                </c:pt>
                <c:pt idx="112">
                  <c:v>9451.2900000000009</c:v>
                </c:pt>
                <c:pt idx="113">
                  <c:v>48.92</c:v>
                </c:pt>
                <c:pt idx="114">
                  <c:v>801.42</c:v>
                </c:pt>
                <c:pt idx="115">
                  <c:v>654.16747058823523</c:v>
                </c:pt>
                <c:pt idx="116">
                  <c:v>90.94</c:v>
                </c:pt>
                <c:pt idx="117">
                  <c:v>654.16747058823523</c:v>
                </c:pt>
                <c:pt idx="118">
                  <c:v>921.66</c:v>
                </c:pt>
                <c:pt idx="119">
                  <c:v>70.47</c:v>
                </c:pt>
                <c:pt idx="120">
                  <c:v>284.11</c:v>
                </c:pt>
                <c:pt idx="121">
                  <c:v>808.14</c:v>
                </c:pt>
                <c:pt idx="122">
                  <c:v>750.78</c:v>
                </c:pt>
                <c:pt idx="123">
                  <c:v>192.68</c:v>
                </c:pt>
                <c:pt idx="124">
                  <c:v>217.26</c:v>
                </c:pt>
                <c:pt idx="125">
                  <c:v>376.77</c:v>
                </c:pt>
                <c:pt idx="126">
                  <c:v>489.68</c:v>
                </c:pt>
                <c:pt idx="127">
                  <c:v>622.07000000000005</c:v>
                </c:pt>
                <c:pt idx="128">
                  <c:v>375.22</c:v>
                </c:pt>
                <c:pt idx="129">
                  <c:v>467.91</c:v>
                </c:pt>
                <c:pt idx="130">
                  <c:v>750</c:v>
                </c:pt>
                <c:pt idx="131">
                  <c:v>654.16747058823523</c:v>
                </c:pt>
                <c:pt idx="132">
                  <c:v>259.91000000000003</c:v>
                </c:pt>
                <c:pt idx="133">
                  <c:v>716.22</c:v>
                </c:pt>
                <c:pt idx="134">
                  <c:v>896.25</c:v>
                </c:pt>
                <c:pt idx="135">
                  <c:v>516.55999999999995</c:v>
                </c:pt>
                <c:pt idx="136">
                  <c:v>536.79</c:v>
                </c:pt>
                <c:pt idx="137">
                  <c:v>116.1</c:v>
                </c:pt>
                <c:pt idx="138">
                  <c:v>654.16747058823523</c:v>
                </c:pt>
                <c:pt idx="139">
                  <c:v>537.29</c:v>
                </c:pt>
                <c:pt idx="140">
                  <c:v>250.05</c:v>
                </c:pt>
                <c:pt idx="141">
                  <c:v>276.55</c:v>
                </c:pt>
                <c:pt idx="142">
                  <c:v>654.16747058823523</c:v>
                </c:pt>
                <c:pt idx="143">
                  <c:v>29.87</c:v>
                </c:pt>
                <c:pt idx="144">
                  <c:v>328.86</c:v>
                </c:pt>
                <c:pt idx="145">
                  <c:v>219.33</c:v>
                </c:pt>
                <c:pt idx="146">
                  <c:v>334.22</c:v>
                </c:pt>
                <c:pt idx="147">
                  <c:v>128.56</c:v>
                </c:pt>
                <c:pt idx="148">
                  <c:v>891.62</c:v>
                </c:pt>
                <c:pt idx="149">
                  <c:v>654.16747058823523</c:v>
                </c:pt>
                <c:pt idx="150">
                  <c:v>682.31</c:v>
                </c:pt>
                <c:pt idx="151">
                  <c:v>791.28</c:v>
                </c:pt>
                <c:pt idx="152">
                  <c:v>503.46</c:v>
                </c:pt>
                <c:pt idx="153">
                  <c:v>96.05</c:v>
                </c:pt>
                <c:pt idx="154">
                  <c:v>654.16747058823523</c:v>
                </c:pt>
                <c:pt idx="155">
                  <c:v>590.97</c:v>
                </c:pt>
                <c:pt idx="156">
                  <c:v>747.99</c:v>
                </c:pt>
                <c:pt idx="157">
                  <c:v>437.34</c:v>
                </c:pt>
                <c:pt idx="158">
                  <c:v>654.16747058823523</c:v>
                </c:pt>
                <c:pt idx="159">
                  <c:v>290.94</c:v>
                </c:pt>
                <c:pt idx="160">
                  <c:v>369.45</c:v>
                </c:pt>
                <c:pt idx="161">
                  <c:v>654.16747058823523</c:v>
                </c:pt>
                <c:pt idx="162">
                  <c:v>575.07000000000005</c:v>
                </c:pt>
                <c:pt idx="163">
                  <c:v>362.54</c:v>
                </c:pt>
                <c:pt idx="164">
                  <c:v>986.65</c:v>
                </c:pt>
                <c:pt idx="165">
                  <c:v>609.72</c:v>
                </c:pt>
                <c:pt idx="166">
                  <c:v>244.85</c:v>
                </c:pt>
                <c:pt idx="167">
                  <c:v>110.76</c:v>
                </c:pt>
                <c:pt idx="168">
                  <c:v>161.33000000000001</c:v>
                </c:pt>
                <c:pt idx="169">
                  <c:v>253.5</c:v>
                </c:pt>
                <c:pt idx="170">
                  <c:v>169.07</c:v>
                </c:pt>
                <c:pt idx="171">
                  <c:v>194.7</c:v>
                </c:pt>
                <c:pt idx="172">
                  <c:v>292.24</c:v>
                </c:pt>
                <c:pt idx="173">
                  <c:v>181.64</c:v>
                </c:pt>
                <c:pt idx="174">
                  <c:v>897.8</c:v>
                </c:pt>
                <c:pt idx="175">
                  <c:v>89.43</c:v>
                </c:pt>
                <c:pt idx="176">
                  <c:v>529.27</c:v>
                </c:pt>
                <c:pt idx="177">
                  <c:v>416.29</c:v>
                </c:pt>
                <c:pt idx="178">
                  <c:v>982.55</c:v>
                </c:pt>
                <c:pt idx="179">
                  <c:v>654.16747058823523</c:v>
                </c:pt>
                <c:pt idx="180">
                  <c:v>403.88</c:v>
                </c:pt>
                <c:pt idx="181">
                  <c:v>654.16747058823523</c:v>
                </c:pt>
                <c:pt idx="182">
                  <c:v>866.85</c:v>
                </c:pt>
                <c:pt idx="183">
                  <c:v>654.16747058823523</c:v>
                </c:pt>
                <c:pt idx="184">
                  <c:v>265.32</c:v>
                </c:pt>
                <c:pt idx="185">
                  <c:v>179.18</c:v>
                </c:pt>
                <c:pt idx="186">
                  <c:v>654.16747058823523</c:v>
                </c:pt>
                <c:pt idx="187">
                  <c:v>654.16747058823523</c:v>
                </c:pt>
                <c:pt idx="188">
                  <c:v>561.20000000000005</c:v>
                </c:pt>
                <c:pt idx="189">
                  <c:v>575.9</c:v>
                </c:pt>
                <c:pt idx="190">
                  <c:v>287.18</c:v>
                </c:pt>
                <c:pt idx="191">
                  <c:v>771.8</c:v>
                </c:pt>
                <c:pt idx="192">
                  <c:v>195.17</c:v>
                </c:pt>
                <c:pt idx="193">
                  <c:v>330.44</c:v>
                </c:pt>
                <c:pt idx="194">
                  <c:v>8596.77</c:v>
                </c:pt>
                <c:pt idx="195">
                  <c:v>512.53</c:v>
                </c:pt>
                <c:pt idx="196">
                  <c:v>249.99</c:v>
                </c:pt>
                <c:pt idx="197">
                  <c:v>123.69</c:v>
                </c:pt>
                <c:pt idx="198">
                  <c:v>614.51</c:v>
                </c:pt>
                <c:pt idx="199">
                  <c:v>295.74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2C-43CD-AC4B-BA0A9EFBC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36416"/>
        <c:axId val="1150040736"/>
      </c:scatterChart>
      <c:valAx>
        <c:axId val="115003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40736"/>
        <c:crosses val="autoZero"/>
        <c:crossBetween val="midCat"/>
      </c:valAx>
      <c:valAx>
        <c:axId val="115004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Purchase</a:t>
                </a:r>
                <a:r>
                  <a:rPr lang="en-IN" b="1" baseline="0">
                    <a:solidFill>
                      <a:schemeClr val="tx1"/>
                    </a:solidFill>
                  </a:rPr>
                  <a:t>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3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2"/>
                </a:solidFill>
              </a:rPr>
              <a:t>Delivery</a:t>
            </a:r>
            <a:r>
              <a:rPr lang="en-IN" baseline="0">
                <a:solidFill>
                  <a:schemeClr val="tx2"/>
                </a:solidFill>
              </a:rPr>
              <a:t> Time vs Customer Satisfaction</a:t>
            </a:r>
            <a:endParaRPr lang="en-IN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Cleaned_data!$K$2:$K$201</c:f>
              <c:numCache>
                <c:formatCode>0</c:formatCode>
                <c:ptCount val="200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4</c:v>
                </c:pt>
                <c:pt idx="12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0</c:v>
                </c:pt>
                <c:pt idx="20">
                  <c:v>5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2</c:v>
                </c:pt>
                <c:pt idx="33">
                  <c:v>0</c:v>
                </c:pt>
                <c:pt idx="34">
                  <c:v>1</c:v>
                </c:pt>
                <c:pt idx="35">
                  <c:v>5</c:v>
                </c:pt>
                <c:pt idx="36">
                  <c:v>3</c:v>
                </c:pt>
                <c:pt idx="37">
                  <c:v>5</c:v>
                </c:pt>
                <c:pt idx="38">
                  <c:v>0</c:v>
                </c:pt>
                <c:pt idx="39">
                  <c:v>4</c:v>
                </c:pt>
                <c:pt idx="40">
                  <c:v>0</c:v>
                </c:pt>
                <c:pt idx="41">
                  <c:v>4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5</c:v>
                </c:pt>
                <c:pt idx="46">
                  <c:v>4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0</c:v>
                </c:pt>
                <c:pt idx="53">
                  <c:v>5</c:v>
                </c:pt>
                <c:pt idx="54">
                  <c:v>5</c:v>
                </c:pt>
                <c:pt idx="55">
                  <c:v>1</c:v>
                </c:pt>
                <c:pt idx="56">
                  <c:v>2</c:v>
                </c:pt>
                <c:pt idx="57">
                  <c:v>5</c:v>
                </c:pt>
                <c:pt idx="58">
                  <c:v>4</c:v>
                </c:pt>
                <c:pt idx="59">
                  <c:v>3</c:v>
                </c:pt>
                <c:pt idx="60">
                  <c:v>0</c:v>
                </c:pt>
                <c:pt idx="61">
                  <c:v>2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1</c:v>
                </c:pt>
                <c:pt idx="67">
                  <c:v>2</c:v>
                </c:pt>
                <c:pt idx="68">
                  <c:v>3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5</c:v>
                </c:pt>
                <c:pt idx="73">
                  <c:v>0</c:v>
                </c:pt>
                <c:pt idx="74">
                  <c:v>0</c:v>
                </c:pt>
                <c:pt idx="75">
                  <c:v>3</c:v>
                </c:pt>
                <c:pt idx="76">
                  <c:v>4</c:v>
                </c:pt>
                <c:pt idx="77">
                  <c:v>2</c:v>
                </c:pt>
                <c:pt idx="78">
                  <c:v>2</c:v>
                </c:pt>
                <c:pt idx="79">
                  <c:v>5</c:v>
                </c:pt>
                <c:pt idx="80">
                  <c:v>5</c:v>
                </c:pt>
                <c:pt idx="81">
                  <c:v>0</c:v>
                </c:pt>
                <c:pt idx="82">
                  <c:v>5</c:v>
                </c:pt>
                <c:pt idx="83">
                  <c:v>3</c:v>
                </c:pt>
                <c:pt idx="84">
                  <c:v>2</c:v>
                </c:pt>
                <c:pt idx="85">
                  <c:v>5</c:v>
                </c:pt>
                <c:pt idx="86">
                  <c:v>2</c:v>
                </c:pt>
                <c:pt idx="87">
                  <c:v>0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5</c:v>
                </c:pt>
                <c:pt idx="92">
                  <c:v>1</c:v>
                </c:pt>
                <c:pt idx="93">
                  <c:v>2</c:v>
                </c:pt>
                <c:pt idx="94">
                  <c:v>4</c:v>
                </c:pt>
                <c:pt idx="95">
                  <c:v>5</c:v>
                </c:pt>
                <c:pt idx="96">
                  <c:v>2</c:v>
                </c:pt>
                <c:pt idx="97">
                  <c:v>5</c:v>
                </c:pt>
                <c:pt idx="98">
                  <c:v>3</c:v>
                </c:pt>
                <c:pt idx="99">
                  <c:v>1</c:v>
                </c:pt>
                <c:pt idx="100">
                  <c:v>3</c:v>
                </c:pt>
                <c:pt idx="101">
                  <c:v>2</c:v>
                </c:pt>
                <c:pt idx="102">
                  <c:v>4</c:v>
                </c:pt>
                <c:pt idx="103">
                  <c:v>5</c:v>
                </c:pt>
                <c:pt idx="104">
                  <c:v>1</c:v>
                </c:pt>
                <c:pt idx="105">
                  <c:v>0</c:v>
                </c:pt>
                <c:pt idx="106">
                  <c:v>2</c:v>
                </c:pt>
                <c:pt idx="107">
                  <c:v>5</c:v>
                </c:pt>
                <c:pt idx="108">
                  <c:v>1</c:v>
                </c:pt>
                <c:pt idx="109">
                  <c:v>2</c:v>
                </c:pt>
                <c:pt idx="110">
                  <c:v>5</c:v>
                </c:pt>
                <c:pt idx="111">
                  <c:v>4</c:v>
                </c:pt>
                <c:pt idx="112">
                  <c:v>2</c:v>
                </c:pt>
                <c:pt idx="113">
                  <c:v>2</c:v>
                </c:pt>
                <c:pt idx="114">
                  <c:v>4</c:v>
                </c:pt>
                <c:pt idx="115">
                  <c:v>3</c:v>
                </c:pt>
                <c:pt idx="116">
                  <c:v>1</c:v>
                </c:pt>
                <c:pt idx="117">
                  <c:v>3</c:v>
                </c:pt>
                <c:pt idx="118">
                  <c:v>5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5</c:v>
                </c:pt>
                <c:pt idx="123">
                  <c:v>5</c:v>
                </c:pt>
                <c:pt idx="124">
                  <c:v>3</c:v>
                </c:pt>
                <c:pt idx="125">
                  <c:v>0</c:v>
                </c:pt>
                <c:pt idx="126">
                  <c:v>4</c:v>
                </c:pt>
                <c:pt idx="127">
                  <c:v>1</c:v>
                </c:pt>
                <c:pt idx="128">
                  <c:v>3</c:v>
                </c:pt>
                <c:pt idx="129">
                  <c:v>3</c:v>
                </c:pt>
                <c:pt idx="130">
                  <c:v>2</c:v>
                </c:pt>
                <c:pt idx="131">
                  <c:v>0</c:v>
                </c:pt>
                <c:pt idx="132">
                  <c:v>1</c:v>
                </c:pt>
                <c:pt idx="133">
                  <c:v>2</c:v>
                </c:pt>
                <c:pt idx="134">
                  <c:v>0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4</c:v>
                </c:pt>
                <c:pt idx="139">
                  <c:v>3</c:v>
                </c:pt>
                <c:pt idx="140">
                  <c:v>1</c:v>
                </c:pt>
                <c:pt idx="141">
                  <c:v>3</c:v>
                </c:pt>
                <c:pt idx="142">
                  <c:v>5</c:v>
                </c:pt>
                <c:pt idx="143">
                  <c:v>3</c:v>
                </c:pt>
                <c:pt idx="144">
                  <c:v>2</c:v>
                </c:pt>
                <c:pt idx="145">
                  <c:v>1</c:v>
                </c:pt>
                <c:pt idx="146">
                  <c:v>2</c:v>
                </c:pt>
                <c:pt idx="147">
                  <c:v>0</c:v>
                </c:pt>
                <c:pt idx="148">
                  <c:v>5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5</c:v>
                </c:pt>
                <c:pt idx="155">
                  <c:v>3</c:v>
                </c:pt>
                <c:pt idx="156">
                  <c:v>2</c:v>
                </c:pt>
                <c:pt idx="157">
                  <c:v>1</c:v>
                </c:pt>
                <c:pt idx="158">
                  <c:v>3</c:v>
                </c:pt>
                <c:pt idx="159">
                  <c:v>3</c:v>
                </c:pt>
                <c:pt idx="160">
                  <c:v>2</c:v>
                </c:pt>
                <c:pt idx="161">
                  <c:v>5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0</c:v>
                </c:pt>
                <c:pt idx="166">
                  <c:v>4</c:v>
                </c:pt>
                <c:pt idx="167">
                  <c:v>3</c:v>
                </c:pt>
                <c:pt idx="168">
                  <c:v>5</c:v>
                </c:pt>
                <c:pt idx="169">
                  <c:v>4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5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3</c:v>
                </c:pt>
                <c:pt idx="180">
                  <c:v>5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3</c:v>
                </c:pt>
                <c:pt idx="188">
                  <c:v>2</c:v>
                </c:pt>
                <c:pt idx="189">
                  <c:v>1</c:v>
                </c:pt>
                <c:pt idx="190">
                  <c:v>0</c:v>
                </c:pt>
                <c:pt idx="191">
                  <c:v>2</c:v>
                </c:pt>
                <c:pt idx="192">
                  <c:v>2</c:v>
                </c:pt>
                <c:pt idx="193">
                  <c:v>1</c:v>
                </c:pt>
                <c:pt idx="194">
                  <c:v>2</c:v>
                </c:pt>
                <c:pt idx="195">
                  <c:v>5</c:v>
                </c:pt>
                <c:pt idx="196">
                  <c:v>2</c:v>
                </c:pt>
                <c:pt idx="197">
                  <c:v>5</c:v>
                </c:pt>
                <c:pt idx="198">
                  <c:v>1</c:v>
                </c:pt>
                <c:pt idx="199">
                  <c:v>0</c:v>
                </c:pt>
              </c:numCache>
            </c:numRef>
          </c:xVal>
          <c:yVal>
            <c:numRef>
              <c:f>Cleaned_data!$L$2:$L$201</c:f>
              <c:numCache>
                <c:formatCode>0</c:formatCode>
                <c:ptCount val="200"/>
                <c:pt idx="0">
                  <c:v>8</c:v>
                </c:pt>
                <c:pt idx="1">
                  <c:v>2</c:v>
                </c:pt>
                <c:pt idx="2">
                  <c:v>11</c:v>
                </c:pt>
                <c:pt idx="3">
                  <c:v>7</c:v>
                </c:pt>
                <c:pt idx="4">
                  <c:v>13</c:v>
                </c:pt>
                <c:pt idx="5">
                  <c:v>7.9588235294117649</c:v>
                </c:pt>
                <c:pt idx="6">
                  <c:v>14</c:v>
                </c:pt>
                <c:pt idx="7">
                  <c:v>4</c:v>
                </c:pt>
                <c:pt idx="8">
                  <c:v>7</c:v>
                </c:pt>
                <c:pt idx="9">
                  <c:v>3</c:v>
                </c:pt>
                <c:pt idx="10">
                  <c:v>2</c:v>
                </c:pt>
                <c:pt idx="11">
                  <c:v>11</c:v>
                </c:pt>
                <c:pt idx="12">
                  <c:v>10</c:v>
                </c:pt>
                <c:pt idx="13">
                  <c:v>7</c:v>
                </c:pt>
                <c:pt idx="14">
                  <c:v>1</c:v>
                </c:pt>
                <c:pt idx="15">
                  <c:v>7.9588235294117649</c:v>
                </c:pt>
                <c:pt idx="16">
                  <c:v>8</c:v>
                </c:pt>
                <c:pt idx="17">
                  <c:v>3</c:v>
                </c:pt>
                <c:pt idx="18">
                  <c:v>12</c:v>
                </c:pt>
                <c:pt idx="19">
                  <c:v>12</c:v>
                </c:pt>
                <c:pt idx="20">
                  <c:v>13</c:v>
                </c:pt>
                <c:pt idx="21">
                  <c:v>7.9588235294117649</c:v>
                </c:pt>
                <c:pt idx="22">
                  <c:v>7.9588235294117649</c:v>
                </c:pt>
                <c:pt idx="23">
                  <c:v>5</c:v>
                </c:pt>
                <c:pt idx="24">
                  <c:v>11</c:v>
                </c:pt>
                <c:pt idx="25">
                  <c:v>8</c:v>
                </c:pt>
                <c:pt idx="26">
                  <c:v>7.9588235294117649</c:v>
                </c:pt>
                <c:pt idx="27">
                  <c:v>7</c:v>
                </c:pt>
                <c:pt idx="28">
                  <c:v>7</c:v>
                </c:pt>
                <c:pt idx="29">
                  <c:v>12</c:v>
                </c:pt>
                <c:pt idx="30">
                  <c:v>7</c:v>
                </c:pt>
                <c:pt idx="31">
                  <c:v>8</c:v>
                </c:pt>
                <c:pt idx="32">
                  <c:v>7.9588235294117649</c:v>
                </c:pt>
                <c:pt idx="33">
                  <c:v>4</c:v>
                </c:pt>
                <c:pt idx="34">
                  <c:v>7.9588235294117649</c:v>
                </c:pt>
                <c:pt idx="35">
                  <c:v>6</c:v>
                </c:pt>
                <c:pt idx="36">
                  <c:v>7.9588235294117649</c:v>
                </c:pt>
                <c:pt idx="37">
                  <c:v>13</c:v>
                </c:pt>
                <c:pt idx="38">
                  <c:v>7.9588235294117649</c:v>
                </c:pt>
                <c:pt idx="39">
                  <c:v>1</c:v>
                </c:pt>
                <c:pt idx="40">
                  <c:v>13</c:v>
                </c:pt>
                <c:pt idx="41">
                  <c:v>10</c:v>
                </c:pt>
                <c:pt idx="42">
                  <c:v>12</c:v>
                </c:pt>
                <c:pt idx="43">
                  <c:v>14</c:v>
                </c:pt>
                <c:pt idx="44">
                  <c:v>2</c:v>
                </c:pt>
                <c:pt idx="45">
                  <c:v>7</c:v>
                </c:pt>
                <c:pt idx="46">
                  <c:v>7.9588235294117649</c:v>
                </c:pt>
                <c:pt idx="47">
                  <c:v>10</c:v>
                </c:pt>
                <c:pt idx="48">
                  <c:v>2</c:v>
                </c:pt>
                <c:pt idx="49">
                  <c:v>14</c:v>
                </c:pt>
                <c:pt idx="50">
                  <c:v>11</c:v>
                </c:pt>
                <c:pt idx="51">
                  <c:v>7</c:v>
                </c:pt>
                <c:pt idx="52">
                  <c:v>7.9588235294117649</c:v>
                </c:pt>
                <c:pt idx="53">
                  <c:v>13</c:v>
                </c:pt>
                <c:pt idx="54">
                  <c:v>2</c:v>
                </c:pt>
                <c:pt idx="55">
                  <c:v>3</c:v>
                </c:pt>
                <c:pt idx="56">
                  <c:v>7.9588235294117649</c:v>
                </c:pt>
                <c:pt idx="57">
                  <c:v>7</c:v>
                </c:pt>
                <c:pt idx="58">
                  <c:v>14</c:v>
                </c:pt>
                <c:pt idx="59">
                  <c:v>4</c:v>
                </c:pt>
                <c:pt idx="60">
                  <c:v>7.9588235294117649</c:v>
                </c:pt>
                <c:pt idx="61">
                  <c:v>14</c:v>
                </c:pt>
                <c:pt idx="62">
                  <c:v>1</c:v>
                </c:pt>
                <c:pt idx="63">
                  <c:v>13</c:v>
                </c:pt>
                <c:pt idx="64">
                  <c:v>14</c:v>
                </c:pt>
                <c:pt idx="65">
                  <c:v>7.9588235294117649</c:v>
                </c:pt>
                <c:pt idx="66">
                  <c:v>12</c:v>
                </c:pt>
                <c:pt idx="67">
                  <c:v>9</c:v>
                </c:pt>
                <c:pt idx="68">
                  <c:v>8</c:v>
                </c:pt>
                <c:pt idx="69">
                  <c:v>12</c:v>
                </c:pt>
                <c:pt idx="70">
                  <c:v>9</c:v>
                </c:pt>
                <c:pt idx="71">
                  <c:v>10</c:v>
                </c:pt>
                <c:pt idx="72">
                  <c:v>14</c:v>
                </c:pt>
                <c:pt idx="73">
                  <c:v>9</c:v>
                </c:pt>
                <c:pt idx="74">
                  <c:v>7</c:v>
                </c:pt>
                <c:pt idx="75">
                  <c:v>4</c:v>
                </c:pt>
                <c:pt idx="76">
                  <c:v>7.9588235294117649</c:v>
                </c:pt>
                <c:pt idx="77">
                  <c:v>1</c:v>
                </c:pt>
                <c:pt idx="78">
                  <c:v>14</c:v>
                </c:pt>
                <c:pt idx="79">
                  <c:v>1</c:v>
                </c:pt>
                <c:pt idx="80">
                  <c:v>3</c:v>
                </c:pt>
                <c:pt idx="81">
                  <c:v>13</c:v>
                </c:pt>
                <c:pt idx="82">
                  <c:v>14</c:v>
                </c:pt>
                <c:pt idx="83">
                  <c:v>7.9588235294117649</c:v>
                </c:pt>
                <c:pt idx="84">
                  <c:v>7.9588235294117649</c:v>
                </c:pt>
                <c:pt idx="85">
                  <c:v>2</c:v>
                </c:pt>
                <c:pt idx="86">
                  <c:v>4</c:v>
                </c:pt>
                <c:pt idx="87">
                  <c:v>2</c:v>
                </c:pt>
                <c:pt idx="88">
                  <c:v>14</c:v>
                </c:pt>
                <c:pt idx="89">
                  <c:v>5</c:v>
                </c:pt>
                <c:pt idx="90">
                  <c:v>7.9588235294117649</c:v>
                </c:pt>
                <c:pt idx="91">
                  <c:v>1</c:v>
                </c:pt>
                <c:pt idx="92">
                  <c:v>5</c:v>
                </c:pt>
                <c:pt idx="93">
                  <c:v>14</c:v>
                </c:pt>
                <c:pt idx="94">
                  <c:v>9</c:v>
                </c:pt>
                <c:pt idx="95">
                  <c:v>1</c:v>
                </c:pt>
                <c:pt idx="96">
                  <c:v>9</c:v>
                </c:pt>
                <c:pt idx="97">
                  <c:v>8</c:v>
                </c:pt>
                <c:pt idx="98">
                  <c:v>4</c:v>
                </c:pt>
                <c:pt idx="99">
                  <c:v>7.9588235294117649</c:v>
                </c:pt>
                <c:pt idx="100">
                  <c:v>11</c:v>
                </c:pt>
                <c:pt idx="101">
                  <c:v>10</c:v>
                </c:pt>
                <c:pt idx="102">
                  <c:v>5</c:v>
                </c:pt>
                <c:pt idx="103">
                  <c:v>13</c:v>
                </c:pt>
                <c:pt idx="104">
                  <c:v>5</c:v>
                </c:pt>
                <c:pt idx="105">
                  <c:v>11</c:v>
                </c:pt>
                <c:pt idx="106">
                  <c:v>12</c:v>
                </c:pt>
                <c:pt idx="107">
                  <c:v>6</c:v>
                </c:pt>
                <c:pt idx="108">
                  <c:v>7</c:v>
                </c:pt>
                <c:pt idx="109">
                  <c:v>8</c:v>
                </c:pt>
                <c:pt idx="110">
                  <c:v>14</c:v>
                </c:pt>
                <c:pt idx="111">
                  <c:v>8</c:v>
                </c:pt>
                <c:pt idx="112">
                  <c:v>11</c:v>
                </c:pt>
                <c:pt idx="113">
                  <c:v>14</c:v>
                </c:pt>
                <c:pt idx="114">
                  <c:v>13</c:v>
                </c:pt>
                <c:pt idx="115">
                  <c:v>2</c:v>
                </c:pt>
                <c:pt idx="116">
                  <c:v>9</c:v>
                </c:pt>
                <c:pt idx="117">
                  <c:v>7</c:v>
                </c:pt>
                <c:pt idx="118">
                  <c:v>7.9588235294117649</c:v>
                </c:pt>
                <c:pt idx="119">
                  <c:v>4</c:v>
                </c:pt>
                <c:pt idx="120">
                  <c:v>11</c:v>
                </c:pt>
                <c:pt idx="121">
                  <c:v>8</c:v>
                </c:pt>
                <c:pt idx="122">
                  <c:v>4</c:v>
                </c:pt>
                <c:pt idx="123">
                  <c:v>13</c:v>
                </c:pt>
                <c:pt idx="124">
                  <c:v>6</c:v>
                </c:pt>
                <c:pt idx="125">
                  <c:v>5</c:v>
                </c:pt>
                <c:pt idx="126">
                  <c:v>3</c:v>
                </c:pt>
                <c:pt idx="127">
                  <c:v>13</c:v>
                </c:pt>
                <c:pt idx="128">
                  <c:v>14</c:v>
                </c:pt>
                <c:pt idx="129">
                  <c:v>10</c:v>
                </c:pt>
                <c:pt idx="130">
                  <c:v>11</c:v>
                </c:pt>
                <c:pt idx="131">
                  <c:v>2</c:v>
                </c:pt>
                <c:pt idx="132">
                  <c:v>9</c:v>
                </c:pt>
                <c:pt idx="133">
                  <c:v>10</c:v>
                </c:pt>
                <c:pt idx="134">
                  <c:v>7.9588235294117649</c:v>
                </c:pt>
                <c:pt idx="135">
                  <c:v>1</c:v>
                </c:pt>
                <c:pt idx="136">
                  <c:v>10</c:v>
                </c:pt>
                <c:pt idx="137">
                  <c:v>3</c:v>
                </c:pt>
                <c:pt idx="138">
                  <c:v>7.9588235294117649</c:v>
                </c:pt>
                <c:pt idx="139">
                  <c:v>6</c:v>
                </c:pt>
                <c:pt idx="140">
                  <c:v>5</c:v>
                </c:pt>
                <c:pt idx="141">
                  <c:v>5</c:v>
                </c:pt>
                <c:pt idx="142">
                  <c:v>7.9588235294117649</c:v>
                </c:pt>
                <c:pt idx="143">
                  <c:v>7</c:v>
                </c:pt>
                <c:pt idx="144">
                  <c:v>1</c:v>
                </c:pt>
                <c:pt idx="145">
                  <c:v>9</c:v>
                </c:pt>
                <c:pt idx="146">
                  <c:v>3</c:v>
                </c:pt>
                <c:pt idx="147">
                  <c:v>4</c:v>
                </c:pt>
                <c:pt idx="148">
                  <c:v>10</c:v>
                </c:pt>
                <c:pt idx="149">
                  <c:v>1</c:v>
                </c:pt>
                <c:pt idx="150">
                  <c:v>13</c:v>
                </c:pt>
                <c:pt idx="151">
                  <c:v>11</c:v>
                </c:pt>
                <c:pt idx="152">
                  <c:v>10</c:v>
                </c:pt>
                <c:pt idx="153">
                  <c:v>7.9588235294117649</c:v>
                </c:pt>
                <c:pt idx="154">
                  <c:v>2</c:v>
                </c:pt>
                <c:pt idx="155">
                  <c:v>2</c:v>
                </c:pt>
                <c:pt idx="156">
                  <c:v>14</c:v>
                </c:pt>
                <c:pt idx="157">
                  <c:v>7.9588235294117649</c:v>
                </c:pt>
                <c:pt idx="158">
                  <c:v>8</c:v>
                </c:pt>
                <c:pt idx="159">
                  <c:v>3</c:v>
                </c:pt>
                <c:pt idx="160">
                  <c:v>3</c:v>
                </c:pt>
                <c:pt idx="161">
                  <c:v>6</c:v>
                </c:pt>
                <c:pt idx="162">
                  <c:v>13</c:v>
                </c:pt>
                <c:pt idx="163">
                  <c:v>8</c:v>
                </c:pt>
                <c:pt idx="164">
                  <c:v>13</c:v>
                </c:pt>
                <c:pt idx="165">
                  <c:v>9</c:v>
                </c:pt>
                <c:pt idx="166">
                  <c:v>7.9588235294117649</c:v>
                </c:pt>
                <c:pt idx="167">
                  <c:v>4</c:v>
                </c:pt>
                <c:pt idx="168">
                  <c:v>14</c:v>
                </c:pt>
                <c:pt idx="169">
                  <c:v>5</c:v>
                </c:pt>
                <c:pt idx="170">
                  <c:v>2</c:v>
                </c:pt>
                <c:pt idx="171">
                  <c:v>11</c:v>
                </c:pt>
                <c:pt idx="172">
                  <c:v>9</c:v>
                </c:pt>
                <c:pt idx="173">
                  <c:v>8</c:v>
                </c:pt>
                <c:pt idx="174">
                  <c:v>3</c:v>
                </c:pt>
                <c:pt idx="175">
                  <c:v>11</c:v>
                </c:pt>
                <c:pt idx="176">
                  <c:v>12</c:v>
                </c:pt>
                <c:pt idx="177">
                  <c:v>13</c:v>
                </c:pt>
                <c:pt idx="178">
                  <c:v>9</c:v>
                </c:pt>
                <c:pt idx="179">
                  <c:v>3</c:v>
                </c:pt>
                <c:pt idx="180">
                  <c:v>9</c:v>
                </c:pt>
                <c:pt idx="181">
                  <c:v>7.9588235294117649</c:v>
                </c:pt>
                <c:pt idx="182">
                  <c:v>12</c:v>
                </c:pt>
                <c:pt idx="183">
                  <c:v>10</c:v>
                </c:pt>
                <c:pt idx="184">
                  <c:v>9</c:v>
                </c:pt>
                <c:pt idx="185">
                  <c:v>8</c:v>
                </c:pt>
                <c:pt idx="186">
                  <c:v>9</c:v>
                </c:pt>
                <c:pt idx="187">
                  <c:v>5</c:v>
                </c:pt>
                <c:pt idx="188">
                  <c:v>11</c:v>
                </c:pt>
                <c:pt idx="189">
                  <c:v>11</c:v>
                </c:pt>
                <c:pt idx="190">
                  <c:v>7.9588235294117649</c:v>
                </c:pt>
                <c:pt idx="191">
                  <c:v>7.9588235294117649</c:v>
                </c:pt>
                <c:pt idx="192">
                  <c:v>12</c:v>
                </c:pt>
                <c:pt idx="193">
                  <c:v>7.9588235294117649</c:v>
                </c:pt>
                <c:pt idx="194">
                  <c:v>8</c:v>
                </c:pt>
                <c:pt idx="195">
                  <c:v>11</c:v>
                </c:pt>
                <c:pt idx="196">
                  <c:v>5</c:v>
                </c:pt>
                <c:pt idx="197">
                  <c:v>10</c:v>
                </c:pt>
                <c:pt idx="198">
                  <c:v>2</c:v>
                </c:pt>
                <c:pt idx="19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56-4446-B198-9B1FBDA4E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407824"/>
        <c:axId val="1110414544"/>
      </c:scatterChart>
      <c:valAx>
        <c:axId val="111040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</a:t>
                </a:r>
                <a:r>
                  <a:rPr lang="en-IN" b="1">
                    <a:solidFill>
                      <a:schemeClr val="tx1"/>
                    </a:solidFill>
                  </a:rPr>
                  <a:t>Ratings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14544"/>
        <c:crosses val="autoZero"/>
        <c:crossBetween val="midCat"/>
      </c:valAx>
      <c:valAx>
        <c:axId val="11104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Delivery</a:t>
                </a:r>
                <a:r>
                  <a:rPr lang="en-IN" baseline="0">
                    <a:solidFill>
                      <a:schemeClr val="tx1"/>
                    </a:solidFill>
                  </a:rPr>
                  <a:t> </a:t>
                </a:r>
                <a:r>
                  <a:rPr lang="en-IN" b="1" baseline="0">
                    <a:solidFill>
                      <a:schemeClr val="tx1"/>
                    </a:solidFill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0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Average</a:t>
            </a:r>
            <a:r>
              <a:rPr lang="en-US" baseline="0">
                <a:solidFill>
                  <a:schemeClr val="tx2"/>
                </a:solidFill>
              </a:rPr>
              <a:t> Purchase amount by Product Category</a:t>
            </a:r>
            <a:endParaRPr lang="en-US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Key_Visuals!$N$18</c:f>
              <c:strCache>
                <c:ptCount val="1"/>
                <c:pt idx="0">
                  <c:v>Average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Key_Visuals!$M$19:$M$22</c:f>
              <c:strCache>
                <c:ptCount val="4"/>
                <c:pt idx="0">
                  <c:v>Electronics</c:v>
                </c:pt>
                <c:pt idx="1">
                  <c:v>Books </c:v>
                </c:pt>
                <c:pt idx="2">
                  <c:v>Clothing</c:v>
                </c:pt>
                <c:pt idx="3">
                  <c:v>Food</c:v>
                </c:pt>
              </c:strCache>
            </c:strRef>
          </c:cat>
          <c:val>
            <c:numRef>
              <c:f>Key_Visuals!$N$19:$N$22</c:f>
              <c:numCache>
                <c:formatCode>General</c:formatCode>
                <c:ptCount val="4"/>
                <c:pt idx="0">
                  <c:v>722.29321084797573</c:v>
                </c:pt>
                <c:pt idx="1">
                  <c:v>658.26131269349844</c:v>
                </c:pt>
                <c:pt idx="2">
                  <c:v>624.03196800825572</c:v>
                </c:pt>
                <c:pt idx="3">
                  <c:v>522.61302941176473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9-40CD-84E0-2785D4AE7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40256"/>
        <c:axId val="1150030656"/>
      </c:barChart>
      <c:catAx>
        <c:axId val="115004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30656"/>
        <c:crosses val="autoZero"/>
        <c:auto val="1"/>
        <c:lblAlgn val="ctr"/>
        <c:lblOffset val="100"/>
        <c:noMultiLvlLbl val="0"/>
      </c:catAx>
      <c:valAx>
        <c:axId val="115003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4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Age Distribution of customers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0" i="0" u="none" strike="noStrike" baseline="0">
              <a:solidFill>
                <a:schemeClr val="accent1">
                  <a:lumMod val="75000"/>
                </a:schemeClr>
              </a:solidFill>
              <a:latin typeface="Calibri"/>
            </a:rPr>
            <a:t>Age Distribution of customers</a:t>
          </a:r>
        </a:p>
      </cx:txPr>
    </cx:title>
    <cx:plotArea>
      <cx:plotAreaRegion>
        <cx:series layoutId="clusteredColumn" uniqueId="{3DA5D265-500F-4F6F-91C1-D6AA0CD30CA1}">
          <cx:tx>
            <cx:txData>
              <cx:f>_xlchart.v1.0</cx:f>
              <cx:v>Age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.0599999987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000" b="1" i="0" u="none" strike="noStrike" baseline="0">
                    <a:solidFill>
                      <a:schemeClr val="tx1"/>
                    </a:solidFill>
                    <a:latin typeface="Calibri"/>
                  </a:rPr>
                  <a:t>Age</a:t>
                </a:r>
                <a:endParaRPr lang="en-US" sz="900" b="1" i="0" u="none" strike="noStrike" baseline="0">
                  <a:solidFill>
                    <a:schemeClr val="tx1"/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000" b="1" i="0" u="none" strike="noStrike" baseline="0">
                    <a:solidFill>
                      <a:schemeClr val="tx1"/>
                    </a:solidFill>
                    <a:latin typeface="Calibri"/>
                  </a:rPr>
                  <a:t>Frequency</a:t>
                </a:r>
                <a:endParaRPr lang="en-US" sz="900" b="1" i="0" u="none" strike="noStrike" baseline="0">
                  <a:solidFill>
                    <a:schemeClr val="tx1"/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0</xdr:rowOff>
    </xdr:from>
    <xdr:to>
      <xdr:col>10</xdr:col>
      <xdr:colOff>563880</xdr:colOff>
      <xdr:row>15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A8E42D5-4202-4F8E-AC22-52A055B0A7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0"/>
              <a:ext cx="66294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563880</xdr:colOff>
      <xdr:row>0</xdr:row>
      <xdr:rowOff>0</xdr:rowOff>
    </xdr:from>
    <xdr:to>
      <xdr:col>22</xdr:col>
      <xdr:colOff>22860</xdr:colOff>
      <xdr:row>14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95F459-BCFD-4407-A3F4-B230EE20E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14</xdr:row>
      <xdr:rowOff>167640</xdr:rowOff>
    </xdr:from>
    <xdr:to>
      <xdr:col>10</xdr:col>
      <xdr:colOff>571500</xdr:colOff>
      <xdr:row>29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1B001A-8F9E-4591-8234-D933973C4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563880</xdr:colOff>
      <xdr:row>14</xdr:row>
      <xdr:rowOff>160020</xdr:rowOff>
    </xdr:from>
    <xdr:to>
      <xdr:col>22</xdr:col>
      <xdr:colOff>30480</xdr:colOff>
      <xdr:row>29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6FC6C3-D03E-55DA-DA4D-8FDD3AB58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ISHA" refreshedDate="46064.562950115738" createdVersion="8" refreshedVersion="8" minRefreshableVersion="3" recordCount="200" xr:uid="{A00DFBFE-79CF-4F49-8742-7E88716940CF}">
  <cacheSource type="worksheet">
    <worksheetSource ref="A1:L201" sheet="Cleaned_data"/>
  </cacheSource>
  <cacheFields count="12">
    <cacheField name="CustomerID" numFmtId="1">
      <sharedItems containsSemiMixedTypes="0" containsString="0" containsNumber="1" containsInteger="1" minValue="1" maxValue="200"/>
    </cacheField>
    <cacheField name="Name" numFmtId="49">
      <sharedItems/>
    </cacheField>
    <cacheField name="Age" numFmtId="1">
      <sharedItems containsSemiMixedTypes="0" containsString="0" containsNumber="1" minValue="18" maxValue="74"/>
    </cacheField>
    <cacheField name="Gender" numFmtId="49">
      <sharedItems count="3">
        <s v="Male"/>
        <s v="Female"/>
        <s v="Not specified"/>
      </sharedItems>
    </cacheField>
    <cacheField name="City" numFmtId="49">
      <sharedItems/>
    </cacheField>
    <cacheField name="PurchaseDate" numFmtId="164">
      <sharedItems containsDate="1" containsMixedTypes="1" minDate="2023-01-02T00:00:00" maxDate="2024-01-02T00:00:00"/>
    </cacheField>
    <cacheField name="ProductCategory" numFmtId="49">
      <sharedItems count="4">
        <s v="Electronics"/>
        <s v="Books"/>
        <s v="Clothing"/>
        <s v="Food"/>
      </sharedItems>
    </cacheField>
    <cacheField name="PurchaseAmount" numFmtId="1">
      <sharedItems containsSemiMixedTypes="0" containsString="0" containsNumber="1" minValue="24.4" maxValue="9451.2900000000009"/>
    </cacheField>
    <cacheField name="Quantity" numFmtId="1">
      <sharedItems containsSemiMixedTypes="0" containsString="0" containsNumber="1" containsInteger="1" minValue="1" maxValue="9"/>
    </cacheField>
    <cacheField name="Unit Price" numFmtId="1">
      <sharedItems containsSemiMixedTypes="0" containsString="0" containsNumber="1" minValue="3.318888888888889" maxValue="9451.2900000000009"/>
    </cacheField>
    <cacheField name="CustomerSatisfaction" numFmtId="1">
      <sharedItems containsSemiMixedTypes="0" containsString="0" containsNumber="1" containsInteger="1" minValue="0" maxValue="5"/>
    </cacheField>
    <cacheField name="DeliveryTime" numFmtId="1">
      <sharedItems containsSemiMixedTypes="0" containsString="0" containsNumb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s v="Customer_1"/>
    <n v="56"/>
    <x v="0"/>
    <s v="Chicago"/>
    <d v="2023-11-24T00:00:00"/>
    <x v="0"/>
    <n v="86.96"/>
    <n v="5"/>
    <n v="17.391999999999999"/>
    <n v="0"/>
    <n v="8"/>
  </r>
  <r>
    <n v="2"/>
    <s v="Customer_2"/>
    <n v="69"/>
    <x v="0"/>
    <s v="New York"/>
    <d v="2023-01-13T00:00:00"/>
    <x v="1"/>
    <n v="974.65"/>
    <n v="4"/>
    <n v="243.66249999999999"/>
    <n v="4"/>
    <n v="2"/>
  </r>
  <r>
    <n v="3"/>
    <s v="Customer_3"/>
    <n v="46"/>
    <x v="0"/>
    <s v="Chicago"/>
    <d v="2023-06-05T00:00:00"/>
    <x v="2"/>
    <n v="986.35"/>
    <n v="3"/>
    <n v="328.78333333333336"/>
    <n v="1"/>
    <n v="11"/>
  </r>
  <r>
    <n v="4"/>
    <s v="Customer_4"/>
    <n v="32"/>
    <x v="1"/>
    <s v="Los Angeles"/>
    <d v="2023-03-13T00:00:00"/>
    <x v="2"/>
    <n v="701.18"/>
    <n v="1"/>
    <n v="701.18"/>
    <n v="5"/>
    <n v="7"/>
  </r>
  <r>
    <n v="5"/>
    <s v="Customer_5"/>
    <n v="43.5"/>
    <x v="1"/>
    <s v="New York"/>
    <d v="2023-12-13T00:00:00"/>
    <x v="0"/>
    <n v="540.74"/>
    <n v="6"/>
    <n v="90.123333333333335"/>
    <n v="3"/>
    <n v="13"/>
  </r>
  <r>
    <n v="6"/>
    <s v="Customer_6"/>
    <n v="25"/>
    <x v="0"/>
    <s v="Los Angeles"/>
    <d v="2023-10-30T00:00:00"/>
    <x v="3"/>
    <n v="654.16747058823523"/>
    <n v="2"/>
    <n v="327.08373529411762"/>
    <n v="2"/>
    <n v="7.9588235294117649"/>
  </r>
  <r>
    <n v="7"/>
    <s v="Customer_7"/>
    <n v="38"/>
    <x v="0"/>
    <s v="Chicago"/>
    <d v="2023-01-17T00:00:00"/>
    <x v="2"/>
    <n v="654.16747058823523"/>
    <n v="8"/>
    <n v="81.770933823529404"/>
    <n v="2"/>
    <n v="14"/>
  </r>
  <r>
    <n v="8"/>
    <s v="Customer_8"/>
    <n v="56"/>
    <x v="0"/>
    <s v="New York"/>
    <s v="02/17/2023"/>
    <x v="3"/>
    <n v="687.88"/>
    <n v="5"/>
    <n v="137.57599999999999"/>
    <n v="3"/>
    <n v="4"/>
  </r>
  <r>
    <n v="9"/>
    <s v="Customer_9"/>
    <n v="36"/>
    <x v="0"/>
    <s v="Los Angeles"/>
    <d v="2023-04-30T00:00:00"/>
    <x v="0"/>
    <n v="170.99"/>
    <n v="7"/>
    <n v="24.427142857142858"/>
    <n v="2"/>
    <n v="7"/>
  </r>
  <r>
    <n v="10"/>
    <s v="Customer_10"/>
    <n v="43.5"/>
    <x v="0"/>
    <s v="Chicago"/>
    <s v="10/15/2023"/>
    <x v="2"/>
    <n v="654.16747058823523"/>
    <n v="2"/>
    <n v="327.08373529411762"/>
    <n v="4"/>
    <n v="3"/>
  </r>
  <r>
    <n v="11"/>
    <s v="Customer_11"/>
    <n v="28"/>
    <x v="0"/>
    <s v="New York"/>
    <d v="2023-11-29T00:00:00"/>
    <x v="0"/>
    <n v="824.31"/>
    <n v="8"/>
    <n v="103.03874999999999"/>
    <n v="1"/>
    <n v="2"/>
  </r>
  <r>
    <n v="12"/>
    <s v="Customer_12"/>
    <n v="28"/>
    <x v="0"/>
    <s v="Los Angeles"/>
    <d v="2023-04-23T00:00:00"/>
    <x v="2"/>
    <n v="950.3"/>
    <n v="2"/>
    <n v="475.15"/>
    <n v="4"/>
    <n v="11"/>
  </r>
  <r>
    <n v="13"/>
    <s v="Customer_13"/>
    <n v="41"/>
    <x v="2"/>
    <s v="Chicago"/>
    <d v="2023-10-29T00:00:00"/>
    <x v="2"/>
    <n v="728.46"/>
    <n v="4"/>
    <n v="182.11500000000001"/>
    <n v="2"/>
    <n v="10"/>
  </r>
  <r>
    <n v="14"/>
    <s v="Customer_14"/>
    <n v="70"/>
    <x v="1"/>
    <s v="New York"/>
    <d v="2023-04-01T00:00:00"/>
    <x v="2"/>
    <n v="617.28"/>
    <n v="1"/>
    <n v="617.28"/>
    <n v="5"/>
    <n v="7"/>
  </r>
  <r>
    <n v="15"/>
    <s v="Customer_15"/>
    <n v="53"/>
    <x v="0"/>
    <s v="Chicago"/>
    <d v="2023-12-24T00:00:00"/>
    <x v="2"/>
    <n v="424.06"/>
    <n v="5"/>
    <n v="84.811999999999998"/>
    <n v="1"/>
    <n v="1"/>
  </r>
  <r>
    <n v="16"/>
    <s v="Customer_16"/>
    <n v="57"/>
    <x v="0"/>
    <s v="Los Angeles"/>
    <d v="2023-06-24T00:00:00"/>
    <x v="2"/>
    <n v="933.4"/>
    <n v="9"/>
    <n v="103.71111111111111"/>
    <n v="1"/>
    <n v="7.9588235294117649"/>
  </r>
  <r>
    <n v="17"/>
    <s v="Customer_17"/>
    <n v="41"/>
    <x v="0"/>
    <s v="Chicago"/>
    <s v="03/21/2023"/>
    <x v="3"/>
    <n v="654.16747058823523"/>
    <n v="1"/>
    <n v="654.16747058823523"/>
    <n v="3"/>
    <n v="8"/>
  </r>
  <r>
    <n v="18"/>
    <s v="Customer_18"/>
    <n v="20"/>
    <x v="0"/>
    <s v="Chicago"/>
    <d v="2023-06-22T00:00:00"/>
    <x v="0"/>
    <n v="54.77"/>
    <n v="9"/>
    <n v="6.0855555555555556"/>
    <n v="3"/>
    <n v="3"/>
  </r>
  <r>
    <n v="19"/>
    <s v="Customer_19"/>
    <n v="39"/>
    <x v="2"/>
    <s v="Los Angeles"/>
    <d v="2023-02-17T00:00:00"/>
    <x v="1"/>
    <n v="36.1"/>
    <n v="8"/>
    <n v="4.5125000000000002"/>
    <n v="5"/>
    <n v="12"/>
  </r>
  <r>
    <n v="20"/>
    <s v="Customer_20"/>
    <n v="70"/>
    <x v="0"/>
    <s v="Los Angeles"/>
    <d v="2023-02-19T00:00:00"/>
    <x v="2"/>
    <n v="382.7"/>
    <n v="6"/>
    <n v="63.783333333333331"/>
    <n v="0"/>
    <n v="12"/>
  </r>
  <r>
    <n v="21"/>
    <s v="Customer_21"/>
    <n v="19"/>
    <x v="0"/>
    <s v="Los Angeles"/>
    <d v="2023-06-26T00:00:00"/>
    <x v="0"/>
    <n v="812.45"/>
    <n v="7"/>
    <n v="116.06428571428572"/>
    <n v="5"/>
    <n v="13"/>
  </r>
  <r>
    <n v="22"/>
    <s v="Customer_22"/>
    <n v="41"/>
    <x v="0"/>
    <s v="New York"/>
    <d v="2023-01-23T00:00:00"/>
    <x v="2"/>
    <n v="987.4"/>
    <n v="3"/>
    <n v="329.13333333333333"/>
    <n v="3"/>
    <n v="7.9588235294117649"/>
  </r>
  <r>
    <n v="23"/>
    <s v="Customer_23"/>
    <n v="61"/>
    <x v="0"/>
    <s v="New York"/>
    <d v="2023-10-02T00:00:00"/>
    <x v="0"/>
    <n v="158.91"/>
    <n v="1"/>
    <n v="158.91"/>
    <n v="3"/>
    <n v="7.9588235294117649"/>
  </r>
  <r>
    <n v="24"/>
    <s v="Customer_24"/>
    <n v="47"/>
    <x v="0"/>
    <s v="New York"/>
    <d v="2023-07-13T00:00:00"/>
    <x v="3"/>
    <n v="654.16747058823523"/>
    <n v="5"/>
    <n v="130.83349411764704"/>
    <n v="1"/>
    <n v="5"/>
  </r>
  <r>
    <n v="25"/>
    <s v="Customer_25"/>
    <n v="55"/>
    <x v="1"/>
    <s v="Chicago"/>
    <d v="2023-10-10T00:00:00"/>
    <x v="0"/>
    <n v="387.08"/>
    <n v="2"/>
    <n v="193.54"/>
    <n v="0"/>
    <n v="11"/>
  </r>
  <r>
    <n v="26"/>
    <s v="Customer_26"/>
    <n v="19"/>
    <x v="1"/>
    <s v="New York"/>
    <d v="2023-11-18T00:00:00"/>
    <x v="1"/>
    <n v="970.22"/>
    <n v="5"/>
    <n v="194.04400000000001"/>
    <n v="2"/>
    <n v="8"/>
  </r>
  <r>
    <n v="27"/>
    <s v="Customer_27"/>
    <n v="38"/>
    <x v="2"/>
    <s v="Chicago"/>
    <s v="10/23/2023"/>
    <x v="0"/>
    <n v="843.7"/>
    <n v="8"/>
    <n v="105.46250000000001"/>
    <n v="3"/>
    <n v="7.9588235294117649"/>
  </r>
  <r>
    <n v="28"/>
    <s v="Customer_28"/>
    <n v="50"/>
    <x v="0"/>
    <s v="Phoenix"/>
    <d v="2023-12-27T00:00:00"/>
    <x v="0"/>
    <n v="839.95"/>
    <n v="9"/>
    <n v="93.327777777777783"/>
    <n v="0"/>
    <n v="7"/>
  </r>
  <r>
    <n v="29"/>
    <s v="Customer_29"/>
    <n v="29"/>
    <x v="2"/>
    <s v="Los Angeles"/>
    <s v="01/24/2023"/>
    <x v="0"/>
    <n v="474.01"/>
    <n v="2"/>
    <n v="237.005"/>
    <n v="0"/>
    <n v="7"/>
  </r>
  <r>
    <n v="30"/>
    <s v="Customer_30"/>
    <n v="39"/>
    <x v="2"/>
    <s v="Chicago"/>
    <d v="2023-05-29T00:00:00"/>
    <x v="0"/>
    <n v="420.67"/>
    <n v="3"/>
    <n v="140.22333333333333"/>
    <n v="4"/>
    <n v="12"/>
  </r>
  <r>
    <n v="31"/>
    <s v="Customer_31"/>
    <n v="61"/>
    <x v="0"/>
    <s v="Los Angeles"/>
    <d v="2023-04-30T00:00:00"/>
    <x v="1"/>
    <n v="280.67"/>
    <n v="3"/>
    <n v="93.556666666666672"/>
    <n v="5"/>
    <n v="7"/>
  </r>
  <r>
    <n v="32"/>
    <s v="Customer_32"/>
    <n v="42"/>
    <x v="0"/>
    <s v="Chicago"/>
    <d v="2023-07-14T00:00:00"/>
    <x v="2"/>
    <n v="654.16747058823523"/>
    <n v="1"/>
    <n v="654.16747058823523"/>
    <n v="5"/>
    <n v="8"/>
  </r>
  <r>
    <n v="33"/>
    <s v="Customer_33"/>
    <n v="66"/>
    <x v="0"/>
    <s v="Los Angeles"/>
    <d v="2023-08-21T00:00:00"/>
    <x v="0"/>
    <n v="866.08"/>
    <n v="8"/>
    <n v="108.26"/>
    <n v="2"/>
    <n v="7.9588235294117649"/>
  </r>
  <r>
    <n v="34"/>
    <s v="Customer_34"/>
    <n v="44"/>
    <x v="1"/>
    <s v="New York"/>
    <d v="2023-03-25T00:00:00"/>
    <x v="0"/>
    <n v="814.77"/>
    <n v="6"/>
    <n v="135.79499999999999"/>
    <n v="0"/>
    <n v="4"/>
  </r>
  <r>
    <n v="35"/>
    <s v="Customer_35"/>
    <n v="59"/>
    <x v="1"/>
    <s v="Phoenix"/>
    <d v="2023-01-07T00:00:00"/>
    <x v="3"/>
    <n v="999.72"/>
    <n v="8"/>
    <n v="124.965"/>
    <n v="1"/>
    <n v="7.9588235294117649"/>
  </r>
  <r>
    <n v="36"/>
    <s v="Customer_36"/>
    <n v="45"/>
    <x v="1"/>
    <s v="Houston"/>
    <d v="2023-12-10T00:00:00"/>
    <x v="0"/>
    <n v="996.67"/>
    <n v="9"/>
    <n v="110.74111111111111"/>
    <n v="5"/>
    <n v="6"/>
  </r>
  <r>
    <n v="37"/>
    <s v="Customer_37"/>
    <n v="33"/>
    <x v="0"/>
    <s v="Los Angeles"/>
    <d v="2023-12-26T00:00:00"/>
    <x v="3"/>
    <n v="559.88"/>
    <n v="5"/>
    <n v="111.976"/>
    <n v="3"/>
    <n v="7.9588235294117649"/>
  </r>
  <r>
    <n v="38"/>
    <s v="Customer_38"/>
    <n v="32"/>
    <x v="1"/>
    <s v="Chicago"/>
    <d v="2023-08-11T00:00:00"/>
    <x v="1"/>
    <n v="771.3"/>
    <n v="3"/>
    <n v="257.09999999999997"/>
    <n v="5"/>
    <n v="13"/>
  </r>
  <r>
    <n v="39"/>
    <s v="Customer_39"/>
    <n v="64"/>
    <x v="0"/>
    <s v="New York"/>
    <d v="2023-01-10T00:00:00"/>
    <x v="2"/>
    <n v="945.32"/>
    <n v="5"/>
    <n v="189.06400000000002"/>
    <n v="0"/>
    <n v="7.9588235294117649"/>
  </r>
  <r>
    <n v="40"/>
    <s v="Customer_40"/>
    <n v="68"/>
    <x v="0"/>
    <s v="Houston"/>
    <d v="2023-03-25T00:00:00"/>
    <x v="0"/>
    <n v="654.16747058823523"/>
    <n v="5"/>
    <n v="130.83349411764704"/>
    <n v="4"/>
    <n v="1"/>
  </r>
  <r>
    <n v="41"/>
    <s v="Customer_41"/>
    <n v="61"/>
    <x v="0"/>
    <s v="Phoenix"/>
    <d v="2023-07-14T00:00:00"/>
    <x v="2"/>
    <n v="654.16747058823523"/>
    <n v="5"/>
    <n v="130.83349411764704"/>
    <n v="0"/>
    <n v="13"/>
  </r>
  <r>
    <n v="42"/>
    <s v="Customer_42"/>
    <n v="43.5"/>
    <x v="0"/>
    <s v="Houston"/>
    <s v="11/24/2023"/>
    <x v="0"/>
    <n v="654.16747058823523"/>
    <n v="3"/>
    <n v="218.05582352941175"/>
    <n v="4"/>
    <n v="10"/>
  </r>
  <r>
    <n v="43"/>
    <s v="Customer_43"/>
    <n v="43.5"/>
    <x v="2"/>
    <s v="New York"/>
    <d v="2023-12-17T00:00:00"/>
    <x v="1"/>
    <n v="137.87"/>
    <n v="4"/>
    <n v="34.467500000000001"/>
    <n v="2"/>
    <n v="12"/>
  </r>
  <r>
    <n v="44"/>
    <s v="Customer_44"/>
    <n v="74"/>
    <x v="0"/>
    <s v="New York"/>
    <s v="01/29/2023"/>
    <x v="0"/>
    <n v="954.51"/>
    <n v="9"/>
    <n v="106.05666666666667"/>
    <n v="2"/>
    <n v="14"/>
  </r>
  <r>
    <n v="45"/>
    <s v="Customer_45"/>
    <n v="20"/>
    <x v="0"/>
    <s v="New York"/>
    <d v="2023-01-17T00:00:00"/>
    <x v="0"/>
    <n v="610.11"/>
    <n v="9"/>
    <n v="67.790000000000006"/>
    <n v="1"/>
    <n v="2"/>
  </r>
  <r>
    <n v="46"/>
    <s v="Customer_46"/>
    <n v="54"/>
    <x v="1"/>
    <s v="Houston"/>
    <d v="2023-07-25T00:00:00"/>
    <x v="0"/>
    <n v="236.36"/>
    <n v="2"/>
    <n v="118.18"/>
    <n v="5"/>
    <n v="7"/>
  </r>
  <r>
    <n v="47"/>
    <s v="Customer_47"/>
    <n v="68"/>
    <x v="1"/>
    <s v="Chicago"/>
    <d v="2023-03-02T00:00:00"/>
    <x v="3"/>
    <n v="674.98"/>
    <n v="8"/>
    <n v="84.372500000000002"/>
    <n v="4"/>
    <n v="7.9588235294117649"/>
  </r>
  <r>
    <n v="48"/>
    <s v="Customer_48"/>
    <n v="24"/>
    <x v="2"/>
    <s v="Chicago"/>
    <d v="2023-10-18T00:00:00"/>
    <x v="0"/>
    <n v="621.95000000000005"/>
    <n v="8"/>
    <n v="77.743750000000006"/>
    <n v="0"/>
    <n v="10"/>
  </r>
  <r>
    <n v="49"/>
    <s v="Customer_49"/>
    <n v="38"/>
    <x v="0"/>
    <s v="Chicago"/>
    <d v="2023-04-19T00:00:00"/>
    <x v="2"/>
    <n v="364.58"/>
    <n v="7"/>
    <n v="52.082857142857144"/>
    <n v="2"/>
    <n v="2"/>
  </r>
  <r>
    <n v="50"/>
    <s v="Customer_50"/>
    <n v="26"/>
    <x v="0"/>
    <s v="Houston"/>
    <d v="2023-07-22T00:00:00"/>
    <x v="0"/>
    <n v="122.42"/>
    <n v="8"/>
    <n v="15.3025"/>
    <n v="2"/>
    <n v="14"/>
  </r>
  <r>
    <n v="51"/>
    <s v="Customer_51"/>
    <n v="56"/>
    <x v="0"/>
    <s v="Los Angeles"/>
    <d v="2023-03-15T00:00:00"/>
    <x v="0"/>
    <n v="674.86"/>
    <n v="3"/>
    <n v="224.95333333333335"/>
    <n v="3"/>
    <n v="11"/>
  </r>
  <r>
    <n v="52"/>
    <s v="Customer_52"/>
    <n v="35"/>
    <x v="0"/>
    <s v="Los Angeles"/>
    <s v="03/13/2023"/>
    <x v="2"/>
    <n v="525.1"/>
    <n v="6"/>
    <n v="87.516666666666666"/>
    <n v="4"/>
    <n v="7"/>
  </r>
  <r>
    <n v="53"/>
    <s v="Customer_53"/>
    <n v="21"/>
    <x v="0"/>
    <s v="Chicago"/>
    <d v="2023-10-15T00:00:00"/>
    <x v="1"/>
    <n v="774.6"/>
    <n v="1"/>
    <n v="774.6"/>
    <n v="0"/>
    <n v="7.9588235294117649"/>
  </r>
  <r>
    <n v="54"/>
    <s v="Customer_54"/>
    <n v="42"/>
    <x v="0"/>
    <s v="Chicago"/>
    <d v="2023-10-27T00:00:00"/>
    <x v="0"/>
    <n v="524.96"/>
    <n v="7"/>
    <n v="74.994285714285724"/>
    <n v="5"/>
    <n v="13"/>
  </r>
  <r>
    <n v="55"/>
    <s v="Customer_55"/>
    <n v="31"/>
    <x v="1"/>
    <s v="New York"/>
    <d v="2023-10-26T00:00:00"/>
    <x v="2"/>
    <n v="5397.03"/>
    <n v="1"/>
    <n v="5397.03"/>
    <n v="5"/>
    <n v="2"/>
  </r>
  <r>
    <n v="56"/>
    <s v="Customer_56"/>
    <n v="67"/>
    <x v="0"/>
    <s v="Chicago"/>
    <d v="2023-05-07T00:00:00"/>
    <x v="0"/>
    <n v="654.16747058823523"/>
    <n v="9"/>
    <n v="72.685274509803918"/>
    <n v="1"/>
    <n v="3"/>
  </r>
  <r>
    <n v="57"/>
    <s v="Customer_57"/>
    <n v="26"/>
    <x v="2"/>
    <s v="New York"/>
    <d v="2023-03-12T00:00:00"/>
    <x v="3"/>
    <n v="565.33000000000004"/>
    <n v="1"/>
    <n v="565.33000000000004"/>
    <n v="2"/>
    <n v="7.9588235294117649"/>
  </r>
  <r>
    <n v="58"/>
    <s v="Customer_58"/>
    <n v="43"/>
    <x v="1"/>
    <s v="Los Angeles"/>
    <d v="2023-02-16T00:00:00"/>
    <x v="3"/>
    <n v="877.89"/>
    <n v="1"/>
    <n v="877.89"/>
    <n v="5"/>
    <n v="7"/>
  </r>
  <r>
    <n v="59"/>
    <s v="Customer_59"/>
    <n v="70"/>
    <x v="0"/>
    <s v="Chicago"/>
    <s v="02/26/2023"/>
    <x v="0"/>
    <n v="409.45"/>
    <n v="7"/>
    <n v="58.49285714285714"/>
    <n v="4"/>
    <n v="14"/>
  </r>
  <r>
    <n v="60"/>
    <s v="Customer_60"/>
    <n v="19"/>
    <x v="1"/>
    <s v="New York"/>
    <s v="11/18/2023"/>
    <x v="1"/>
    <n v="142.68"/>
    <n v="2"/>
    <n v="71.34"/>
    <n v="3"/>
    <n v="4"/>
  </r>
  <r>
    <n v="61"/>
    <s v="Customer_61"/>
    <n v="37"/>
    <x v="0"/>
    <s v="Phoenix"/>
    <d v="2023-12-15T00:00:00"/>
    <x v="1"/>
    <n v="654.16747058823523"/>
    <n v="5"/>
    <n v="130.83349411764704"/>
    <n v="0"/>
    <n v="7.9588235294117649"/>
  </r>
  <r>
    <n v="62"/>
    <s v="Customer_62"/>
    <n v="45"/>
    <x v="0"/>
    <s v="New York"/>
    <d v="2023-11-02T00:00:00"/>
    <x v="0"/>
    <n v="757.59"/>
    <n v="8"/>
    <n v="94.698750000000004"/>
    <n v="2"/>
    <n v="14"/>
  </r>
  <r>
    <n v="63"/>
    <s v="Customer_63"/>
    <n v="64"/>
    <x v="0"/>
    <s v="Los Angeles"/>
    <d v="2023-07-17T00:00:00"/>
    <x v="0"/>
    <n v="624.11"/>
    <n v="8"/>
    <n v="78.013750000000002"/>
    <n v="0"/>
    <n v="1"/>
  </r>
  <r>
    <n v="64"/>
    <s v="Customer_64"/>
    <n v="24"/>
    <x v="0"/>
    <s v="Los Angeles"/>
    <d v="2023-11-02T00:00:00"/>
    <x v="3"/>
    <n v="654.16747058823523"/>
    <n v="3"/>
    <n v="218.05582352941175"/>
    <n v="1"/>
    <n v="13"/>
  </r>
  <r>
    <n v="65"/>
    <s v="Customer_65"/>
    <n v="61"/>
    <x v="0"/>
    <s v="New York"/>
    <d v="2023-09-28T00:00:00"/>
    <x v="1"/>
    <n v="220.83"/>
    <n v="7"/>
    <n v="31.547142857142859"/>
    <n v="2"/>
    <n v="14"/>
  </r>
  <r>
    <n v="66"/>
    <s v="Customer_66"/>
    <n v="43.5"/>
    <x v="1"/>
    <s v="New York"/>
    <d v="2023-10-11T00:00:00"/>
    <x v="0"/>
    <n v="145.01"/>
    <n v="3"/>
    <n v="48.336666666666666"/>
    <n v="3"/>
    <n v="7.9588235294117649"/>
  </r>
  <r>
    <n v="67"/>
    <s v="Customer_67"/>
    <n v="64"/>
    <x v="2"/>
    <s v="Houston"/>
    <d v="2023-12-15T00:00:00"/>
    <x v="1"/>
    <n v="24.4"/>
    <n v="6"/>
    <n v="4.0666666666666664"/>
    <n v="1"/>
    <n v="12"/>
  </r>
  <r>
    <n v="68"/>
    <s v="Customer_68"/>
    <n v="52"/>
    <x v="2"/>
    <s v="Los Angeles"/>
    <d v="2023-12-16T00:00:00"/>
    <x v="2"/>
    <n v="357.08"/>
    <n v="6"/>
    <n v="59.513333333333328"/>
    <n v="2"/>
    <n v="9"/>
  </r>
  <r>
    <n v="69"/>
    <s v="Customer_69"/>
    <n v="31"/>
    <x v="2"/>
    <s v="New York"/>
    <d v="2023-11-25T00:00:00"/>
    <x v="1"/>
    <n v="594.02"/>
    <n v="3"/>
    <n v="198.00666666666666"/>
    <n v="3"/>
    <n v="8"/>
  </r>
  <r>
    <n v="70"/>
    <s v="Customer_70"/>
    <n v="34"/>
    <x v="0"/>
    <s v="Chicago"/>
    <d v="2023-02-27T00:00:00"/>
    <x v="3"/>
    <n v="398.32"/>
    <n v="7"/>
    <n v="56.902857142857144"/>
    <n v="1"/>
    <n v="12"/>
  </r>
  <r>
    <n v="71"/>
    <s v="Customer_71"/>
    <n v="43.5"/>
    <x v="2"/>
    <s v="New York"/>
    <d v="2023-11-08T00:00:00"/>
    <x v="2"/>
    <n v="443.1"/>
    <n v="3"/>
    <n v="147.70000000000002"/>
    <n v="1"/>
    <n v="9"/>
  </r>
  <r>
    <n v="72"/>
    <s v="Customer_72"/>
    <n v="43.5"/>
    <x v="0"/>
    <s v="Chicago"/>
    <d v="2023-08-21T00:00:00"/>
    <x v="0"/>
    <n v="905.12"/>
    <n v="8"/>
    <n v="113.14"/>
    <n v="2"/>
    <n v="10"/>
  </r>
  <r>
    <n v="73"/>
    <s v="Customer_73"/>
    <n v="57"/>
    <x v="1"/>
    <s v="Houston"/>
    <s v="05/15/2023"/>
    <x v="0"/>
    <n v="354.77"/>
    <n v="4"/>
    <n v="88.692499999999995"/>
    <n v="5"/>
    <n v="14"/>
  </r>
  <r>
    <n v="74"/>
    <s v="Customer_74"/>
    <n v="21"/>
    <x v="0"/>
    <s v="Phoenix"/>
    <d v="2023-09-17T00:00:00"/>
    <x v="3"/>
    <n v="518.85"/>
    <n v="1"/>
    <n v="518.85"/>
    <n v="0"/>
    <n v="9"/>
  </r>
  <r>
    <n v="75"/>
    <s v="Customer_75"/>
    <n v="19"/>
    <x v="0"/>
    <s v="New York"/>
    <d v="2023-11-17T00:00:00"/>
    <x v="1"/>
    <n v="785.82"/>
    <n v="4"/>
    <n v="196.45500000000001"/>
    <n v="0"/>
    <n v="7"/>
  </r>
  <r>
    <n v="76"/>
    <s v="Customer_76"/>
    <n v="23"/>
    <x v="0"/>
    <s v="Phoenix"/>
    <s v="11/24/2023"/>
    <x v="0"/>
    <n v="402.58"/>
    <n v="7"/>
    <n v="57.511428571428567"/>
    <n v="3"/>
    <n v="4"/>
  </r>
  <r>
    <n v="77"/>
    <s v="Customer_77"/>
    <n v="71"/>
    <x v="0"/>
    <s v="Houston"/>
    <d v="2023-03-20T00:00:00"/>
    <x v="1"/>
    <n v="625.87"/>
    <n v="4"/>
    <n v="156.4675"/>
    <n v="4"/>
    <n v="7.9588235294117649"/>
  </r>
  <r>
    <n v="78"/>
    <s v="Customer_78"/>
    <n v="59"/>
    <x v="1"/>
    <s v="Houston"/>
    <d v="2023-03-24T00:00:00"/>
    <x v="3"/>
    <n v="863.74"/>
    <n v="6"/>
    <n v="143.95666666666668"/>
    <n v="2"/>
    <n v="1"/>
  </r>
  <r>
    <n v="79"/>
    <s v="Customer_79"/>
    <n v="21"/>
    <x v="1"/>
    <s v="Houston"/>
    <d v="2023-11-03T00:00:00"/>
    <x v="0"/>
    <n v="950.03"/>
    <n v="9"/>
    <n v="105.55888888888889"/>
    <n v="2"/>
    <n v="14"/>
  </r>
  <r>
    <n v="80"/>
    <s v="Customer_80"/>
    <n v="71"/>
    <x v="0"/>
    <s v="Phoenix"/>
    <d v="2023-09-08T00:00:00"/>
    <x v="1"/>
    <n v="155.6"/>
    <n v="1"/>
    <n v="155.6"/>
    <n v="5"/>
    <n v="1"/>
  </r>
  <r>
    <n v="81"/>
    <s v="Customer_81"/>
    <n v="46"/>
    <x v="1"/>
    <s v="Chicago"/>
    <d v="2023-02-27T00:00:00"/>
    <x v="0"/>
    <n v="927.32"/>
    <n v="5"/>
    <n v="185.464"/>
    <n v="5"/>
    <n v="3"/>
  </r>
  <r>
    <n v="82"/>
    <s v="Customer_82"/>
    <n v="35"/>
    <x v="0"/>
    <s v="Houston"/>
    <d v="2023-07-06T00:00:00"/>
    <x v="0"/>
    <n v="497.2"/>
    <n v="7"/>
    <n v="71.028571428571425"/>
    <n v="0"/>
    <n v="13"/>
  </r>
  <r>
    <n v="83"/>
    <s v="Customer_83"/>
    <n v="43.5"/>
    <x v="1"/>
    <s v="New York"/>
    <s v="01/30/2023"/>
    <x v="0"/>
    <n v="265.66000000000003"/>
    <n v="1"/>
    <n v="265.66000000000003"/>
    <n v="5"/>
    <n v="14"/>
  </r>
  <r>
    <n v="84"/>
    <s v="Customer_84"/>
    <n v="61"/>
    <x v="0"/>
    <s v="Phoenix"/>
    <d v="2023-10-18T00:00:00"/>
    <x v="0"/>
    <n v="464.54"/>
    <n v="4"/>
    <n v="116.13500000000001"/>
    <n v="3"/>
    <n v="7.9588235294117649"/>
  </r>
  <r>
    <n v="85"/>
    <s v="Customer_85"/>
    <n v="51"/>
    <x v="0"/>
    <s v="Houston"/>
    <d v="2023-02-13T00:00:00"/>
    <x v="2"/>
    <n v="980.23"/>
    <n v="6"/>
    <n v="163.37166666666667"/>
    <n v="2"/>
    <n v="7.9588235294117649"/>
  </r>
  <r>
    <n v="86"/>
    <s v="Customer_86"/>
    <n v="43.5"/>
    <x v="1"/>
    <s v="New York"/>
    <d v="2023-05-02T00:00:00"/>
    <x v="2"/>
    <n v="497.69"/>
    <n v="2"/>
    <n v="248.845"/>
    <n v="5"/>
    <n v="2"/>
  </r>
  <r>
    <n v="87"/>
    <s v="Customer_87"/>
    <n v="53"/>
    <x v="1"/>
    <s v="Chicago"/>
    <d v="2023-03-07T00:00:00"/>
    <x v="2"/>
    <n v="335.46"/>
    <n v="5"/>
    <n v="67.091999999999999"/>
    <n v="2"/>
    <n v="4"/>
  </r>
  <r>
    <n v="88"/>
    <s v="Customer_88"/>
    <n v="31"/>
    <x v="2"/>
    <s v="Chicago"/>
    <d v="2023-09-10T00:00:00"/>
    <x v="2"/>
    <n v="637.07000000000005"/>
    <n v="1"/>
    <n v="637.07000000000005"/>
    <n v="0"/>
    <n v="2"/>
  </r>
  <r>
    <n v="89"/>
    <s v="Customer_89"/>
    <n v="48"/>
    <x v="2"/>
    <s v="Chicago"/>
    <d v="2023-05-16T00:00:00"/>
    <x v="0"/>
    <n v="247.74"/>
    <n v="6"/>
    <n v="41.29"/>
    <n v="1"/>
    <n v="14"/>
  </r>
  <r>
    <n v="90"/>
    <s v="Customer_90"/>
    <n v="43.5"/>
    <x v="1"/>
    <s v="Houston"/>
    <s v="04/19/2023"/>
    <x v="3"/>
    <n v="85.1"/>
    <n v="6"/>
    <n v="14.183333333333332"/>
    <n v="2"/>
    <n v="5"/>
  </r>
  <r>
    <n v="91"/>
    <s v="Customer_91"/>
    <n v="32"/>
    <x v="0"/>
    <s v="Phoenix"/>
    <d v="2024-01-01T00:00:00"/>
    <x v="0"/>
    <n v="7637"/>
    <n v="4"/>
    <n v="1909.25"/>
    <n v="1"/>
    <n v="7.9588235294117649"/>
  </r>
  <r>
    <n v="92"/>
    <s v="Customer_92"/>
    <n v="25"/>
    <x v="0"/>
    <s v="Los Angeles"/>
    <d v="2023-07-24T00:00:00"/>
    <x v="3"/>
    <n v="136.77000000000001"/>
    <n v="8"/>
    <n v="17.096250000000001"/>
    <n v="5"/>
    <n v="1"/>
  </r>
  <r>
    <n v="93"/>
    <s v="Customer_93"/>
    <n v="31"/>
    <x v="1"/>
    <s v="Houston"/>
    <d v="2023-08-13T00:00:00"/>
    <x v="3"/>
    <n v="160.38"/>
    <n v="4"/>
    <n v="40.094999999999999"/>
    <n v="1"/>
    <n v="5"/>
  </r>
  <r>
    <n v="94"/>
    <s v="Customer_94"/>
    <n v="40"/>
    <x v="0"/>
    <s v="Los Angeles"/>
    <d v="2023-03-03T00:00:00"/>
    <x v="2"/>
    <n v="147.44"/>
    <n v="8"/>
    <n v="18.43"/>
    <n v="2"/>
    <n v="14"/>
  </r>
  <r>
    <n v="95"/>
    <s v="Customer_95"/>
    <n v="74"/>
    <x v="0"/>
    <s v="New York"/>
    <d v="2023-04-26T00:00:00"/>
    <x v="1"/>
    <n v="644.47"/>
    <n v="8"/>
    <n v="80.558750000000003"/>
    <n v="4"/>
    <n v="9"/>
  </r>
  <r>
    <n v="96"/>
    <s v="Customer_96"/>
    <n v="57"/>
    <x v="1"/>
    <s v="Chicago"/>
    <d v="2023-06-23T00:00:00"/>
    <x v="0"/>
    <n v="190.06"/>
    <n v="5"/>
    <n v="38.012"/>
    <n v="5"/>
    <n v="1"/>
  </r>
  <r>
    <n v="97"/>
    <s v="Customer_97"/>
    <n v="38"/>
    <x v="0"/>
    <s v="New York"/>
    <s v="10/29/2023"/>
    <x v="2"/>
    <n v="654.16747058823523"/>
    <n v="4"/>
    <n v="163.54186764705881"/>
    <n v="2"/>
    <n v="9"/>
  </r>
  <r>
    <n v="98"/>
    <s v="Customer_98"/>
    <n v="33"/>
    <x v="1"/>
    <s v="Chicago"/>
    <s v="10/29/2023"/>
    <x v="2"/>
    <n v="897.82"/>
    <n v="2"/>
    <n v="448.91"/>
    <n v="5"/>
    <n v="8"/>
  </r>
  <r>
    <n v="99"/>
    <s v="Customer_99"/>
    <n v="62"/>
    <x v="0"/>
    <s v="Chicago"/>
    <d v="2023-01-04T00:00:00"/>
    <x v="1"/>
    <n v="479.22"/>
    <n v="3"/>
    <n v="159.74"/>
    <n v="3"/>
    <n v="4"/>
  </r>
  <r>
    <n v="100"/>
    <s v="Customer_100"/>
    <n v="35"/>
    <x v="1"/>
    <s v="Houston"/>
    <d v="2023-12-29T00:00:00"/>
    <x v="0"/>
    <n v="670.88"/>
    <n v="3"/>
    <n v="223.62666666666667"/>
    <n v="1"/>
    <n v="7.9588235294117649"/>
  </r>
  <r>
    <n v="101"/>
    <s v="Customer_101"/>
    <n v="64"/>
    <x v="1"/>
    <s v="Los Angeles"/>
    <d v="2023-04-28T00:00:00"/>
    <x v="0"/>
    <n v="180.6"/>
    <n v="4"/>
    <n v="45.15"/>
    <n v="3"/>
    <n v="11"/>
  </r>
  <r>
    <n v="102"/>
    <s v="Customer_102"/>
    <n v="70"/>
    <x v="0"/>
    <s v="Chicago"/>
    <d v="2023-01-17T00:00:00"/>
    <x v="2"/>
    <n v="200.37"/>
    <n v="4"/>
    <n v="50.092500000000001"/>
    <n v="2"/>
    <n v="10"/>
  </r>
  <r>
    <n v="103"/>
    <s v="Customer_103"/>
    <n v="41"/>
    <x v="1"/>
    <s v="Los Angeles"/>
    <d v="2023-06-02T00:00:00"/>
    <x v="2"/>
    <n v="50.46"/>
    <n v="5"/>
    <n v="10.092000000000001"/>
    <n v="4"/>
    <n v="5"/>
  </r>
  <r>
    <n v="104"/>
    <s v="Customer_104"/>
    <n v="43"/>
    <x v="1"/>
    <s v="Phoenix"/>
    <d v="2023-05-23T00:00:00"/>
    <x v="0"/>
    <n v="177.25"/>
    <n v="4"/>
    <n v="44.3125"/>
    <n v="5"/>
    <n v="13"/>
  </r>
  <r>
    <n v="105"/>
    <s v="Customer_105"/>
    <n v="42"/>
    <x v="0"/>
    <s v="Los Angeles"/>
    <s v="04/20/2023"/>
    <x v="2"/>
    <n v="285.8"/>
    <n v="8"/>
    <n v="35.725000000000001"/>
    <n v="1"/>
    <n v="5"/>
  </r>
  <r>
    <n v="106"/>
    <s v="Customer_106"/>
    <n v="62"/>
    <x v="1"/>
    <s v="Phoenix"/>
    <d v="2023-10-20T00:00:00"/>
    <x v="0"/>
    <n v="654.16747058823523"/>
    <n v="6"/>
    <n v="109.02791176470588"/>
    <n v="0"/>
    <n v="11"/>
  </r>
  <r>
    <n v="107"/>
    <s v="Customer_107"/>
    <n v="58"/>
    <x v="0"/>
    <s v="New York"/>
    <d v="2023-05-05T00:00:00"/>
    <x v="2"/>
    <n v="97.82"/>
    <n v="6"/>
    <n v="16.303333333333331"/>
    <n v="2"/>
    <n v="12"/>
  </r>
  <r>
    <n v="108"/>
    <s v="Customer_108"/>
    <n v="46"/>
    <x v="0"/>
    <s v="Chicago"/>
    <s v="07/28/2023"/>
    <x v="3"/>
    <n v="654.16747058823523"/>
    <n v="8"/>
    <n v="81.770933823529404"/>
    <n v="5"/>
    <n v="6"/>
  </r>
  <r>
    <n v="109"/>
    <s v="Customer_109"/>
    <n v="32"/>
    <x v="2"/>
    <s v="Chicago"/>
    <d v="2023-02-18T00:00:00"/>
    <x v="2"/>
    <n v="466.17"/>
    <n v="7"/>
    <n v="66.595714285714294"/>
    <n v="1"/>
    <n v="7"/>
  </r>
  <r>
    <n v="110"/>
    <s v="Customer_110"/>
    <n v="62"/>
    <x v="0"/>
    <s v="New York"/>
    <d v="2023-12-04T00:00:00"/>
    <x v="2"/>
    <n v="214.27"/>
    <n v="8"/>
    <n v="26.783750000000001"/>
    <n v="2"/>
    <n v="8"/>
  </r>
  <r>
    <n v="111"/>
    <s v="Customer_111"/>
    <n v="18"/>
    <x v="0"/>
    <s v="Houston"/>
    <d v="2023-07-01T00:00:00"/>
    <x v="0"/>
    <n v="654.16747058823523"/>
    <n v="2"/>
    <n v="327.08373529411762"/>
    <n v="5"/>
    <n v="14"/>
  </r>
  <r>
    <n v="112"/>
    <s v="Customer_112"/>
    <n v="42"/>
    <x v="2"/>
    <s v="Phoenix"/>
    <d v="2023-07-30T00:00:00"/>
    <x v="0"/>
    <n v="508.38"/>
    <n v="9"/>
    <n v="56.486666666666665"/>
    <n v="4"/>
    <n v="8"/>
  </r>
  <r>
    <n v="113"/>
    <s v="Customer_113"/>
    <n v="24"/>
    <x v="0"/>
    <s v="New York"/>
    <d v="2023-01-28T00:00:00"/>
    <x v="0"/>
    <n v="9451.2900000000009"/>
    <n v="1"/>
    <n v="9451.2900000000009"/>
    <n v="2"/>
    <n v="11"/>
  </r>
  <r>
    <n v="114"/>
    <s v="Customer_114"/>
    <n v="26"/>
    <x v="0"/>
    <s v="Los Angeles"/>
    <d v="2023-02-01T00:00:00"/>
    <x v="2"/>
    <n v="48.92"/>
    <n v="8"/>
    <n v="6.1150000000000002"/>
    <n v="2"/>
    <n v="14"/>
  </r>
  <r>
    <n v="115"/>
    <s v="Customer_115"/>
    <n v="41"/>
    <x v="2"/>
    <s v="Los Angeles"/>
    <d v="2023-06-23T00:00:00"/>
    <x v="3"/>
    <n v="801.42"/>
    <n v="4"/>
    <n v="200.35499999999999"/>
    <n v="4"/>
    <n v="13"/>
  </r>
  <r>
    <n v="116"/>
    <s v="Customer_116"/>
    <n v="18"/>
    <x v="0"/>
    <s v="New York"/>
    <d v="2023-08-05T00:00:00"/>
    <x v="0"/>
    <n v="654.16747058823523"/>
    <n v="4"/>
    <n v="163.54186764705881"/>
    <n v="3"/>
    <n v="2"/>
  </r>
  <r>
    <n v="117"/>
    <s v="Customer_117"/>
    <n v="43.5"/>
    <x v="0"/>
    <s v="Chicago"/>
    <d v="2023-04-08T00:00:00"/>
    <x v="0"/>
    <n v="90.94"/>
    <n v="5"/>
    <n v="18.187999999999999"/>
    <n v="1"/>
    <n v="9"/>
  </r>
  <r>
    <n v="118"/>
    <s v="Customer_118"/>
    <n v="25"/>
    <x v="1"/>
    <s v="Los Angeles"/>
    <d v="2023-03-13T00:00:00"/>
    <x v="2"/>
    <n v="654.16747058823523"/>
    <n v="8"/>
    <n v="81.770933823529404"/>
    <n v="3"/>
    <n v="7"/>
  </r>
  <r>
    <n v="119"/>
    <s v="Customer_119"/>
    <n v="43.5"/>
    <x v="0"/>
    <s v="New York"/>
    <d v="2023-04-04T00:00:00"/>
    <x v="1"/>
    <n v="921.66"/>
    <n v="5"/>
    <n v="184.33199999999999"/>
    <n v="5"/>
    <n v="7.9588235294117649"/>
  </r>
  <r>
    <n v="120"/>
    <s v="Customer_120"/>
    <n v="28"/>
    <x v="2"/>
    <s v="New York"/>
    <s v="08/25/2023"/>
    <x v="0"/>
    <n v="70.47"/>
    <n v="8"/>
    <n v="8.8087499999999999"/>
    <n v="4"/>
    <n v="4"/>
  </r>
  <r>
    <n v="121"/>
    <s v="Customer_121"/>
    <n v="68"/>
    <x v="1"/>
    <s v="New York"/>
    <d v="2023-02-08T00:00:00"/>
    <x v="0"/>
    <n v="284.11"/>
    <n v="1"/>
    <n v="284.11"/>
    <n v="3"/>
    <n v="11"/>
  </r>
  <r>
    <n v="122"/>
    <s v="Customer_122"/>
    <n v="34"/>
    <x v="0"/>
    <s v="Phoenix"/>
    <d v="2023-10-09T00:00:00"/>
    <x v="0"/>
    <n v="808.14"/>
    <n v="9"/>
    <n v="89.793333333333337"/>
    <n v="2"/>
    <n v="8"/>
  </r>
  <r>
    <n v="123"/>
    <s v="Customer_123"/>
    <n v="25"/>
    <x v="0"/>
    <s v="Phoenix"/>
    <d v="2023-01-26T00:00:00"/>
    <x v="1"/>
    <n v="750.78"/>
    <n v="6"/>
    <n v="125.13"/>
    <n v="5"/>
    <n v="4"/>
  </r>
  <r>
    <n v="124"/>
    <s v="Customer_124"/>
    <n v="52"/>
    <x v="2"/>
    <s v="New York"/>
    <s v="02/17/2023"/>
    <x v="1"/>
    <n v="192.68"/>
    <n v="3"/>
    <n v="64.226666666666674"/>
    <n v="5"/>
    <n v="13"/>
  </r>
  <r>
    <n v="125"/>
    <s v="Customer_125"/>
    <n v="52"/>
    <x v="0"/>
    <s v="Phoenix"/>
    <d v="2023-03-27T00:00:00"/>
    <x v="2"/>
    <n v="217.26"/>
    <n v="8"/>
    <n v="27.157499999999999"/>
    <n v="3"/>
    <n v="6"/>
  </r>
  <r>
    <n v="126"/>
    <s v="Customer_126"/>
    <n v="43.5"/>
    <x v="1"/>
    <s v="Chicago"/>
    <d v="2023-09-06T00:00:00"/>
    <x v="1"/>
    <n v="376.77"/>
    <n v="9"/>
    <n v="41.86333333333333"/>
    <n v="0"/>
    <n v="5"/>
  </r>
  <r>
    <n v="127"/>
    <s v="Customer_127"/>
    <n v="22"/>
    <x v="0"/>
    <s v="Chicago"/>
    <d v="2023-04-20T00:00:00"/>
    <x v="3"/>
    <n v="489.68"/>
    <n v="6"/>
    <n v="81.61333333333333"/>
    <n v="4"/>
    <n v="3"/>
  </r>
  <r>
    <n v="128"/>
    <s v="Customer_128"/>
    <n v="59"/>
    <x v="0"/>
    <s v="Phoenix"/>
    <s v="01/31/2023"/>
    <x v="0"/>
    <n v="622.07000000000005"/>
    <n v="7"/>
    <n v="88.867142857142866"/>
    <n v="1"/>
    <n v="13"/>
  </r>
  <r>
    <n v="129"/>
    <s v="Customer_129"/>
    <n v="43.5"/>
    <x v="2"/>
    <s v="New York"/>
    <d v="2023-07-14T00:00:00"/>
    <x v="1"/>
    <n v="375.22"/>
    <n v="1"/>
    <n v="375.22"/>
    <n v="3"/>
    <n v="14"/>
  </r>
  <r>
    <n v="130"/>
    <s v="Customer_130"/>
    <n v="58"/>
    <x v="0"/>
    <s v="Phoenix"/>
    <d v="2023-07-19T00:00:00"/>
    <x v="2"/>
    <n v="467.91"/>
    <n v="5"/>
    <n v="93.582000000000008"/>
    <n v="3"/>
    <n v="10"/>
  </r>
  <r>
    <n v="131"/>
    <s v="Customer_131"/>
    <n v="45"/>
    <x v="0"/>
    <s v="Chicago"/>
    <d v="2023-08-21T00:00:00"/>
    <x v="3"/>
    <n v="750"/>
    <n v="5"/>
    <n v="150"/>
    <n v="2"/>
    <n v="11"/>
  </r>
  <r>
    <n v="132"/>
    <s v="Customer_132"/>
    <n v="24"/>
    <x v="0"/>
    <s v="Chicago"/>
    <d v="2023-08-05T00:00:00"/>
    <x v="2"/>
    <n v="654.16747058823523"/>
    <n v="4"/>
    <n v="163.54186764705881"/>
    <n v="0"/>
    <n v="2"/>
  </r>
  <r>
    <n v="133"/>
    <s v="Customer_133"/>
    <n v="26"/>
    <x v="0"/>
    <s v="Houston"/>
    <s v="03/21/2023"/>
    <x v="2"/>
    <n v="259.91000000000003"/>
    <n v="6"/>
    <n v="43.318333333333335"/>
    <n v="1"/>
    <n v="9"/>
  </r>
  <r>
    <n v="134"/>
    <s v="Customer_134"/>
    <n v="43.5"/>
    <x v="1"/>
    <s v="Los Angeles"/>
    <d v="2023-01-06T00:00:00"/>
    <x v="3"/>
    <n v="716.22"/>
    <n v="7"/>
    <n v="102.31714285714285"/>
    <n v="2"/>
    <n v="10"/>
  </r>
  <r>
    <n v="135"/>
    <s v="Customer_135"/>
    <n v="43.5"/>
    <x v="0"/>
    <s v="Chicago"/>
    <d v="2023-01-30T00:00:00"/>
    <x v="2"/>
    <n v="896.25"/>
    <n v="9"/>
    <n v="99.583333333333329"/>
    <n v="0"/>
    <n v="7.9588235294117649"/>
  </r>
  <r>
    <n v="136"/>
    <s v="Customer_136"/>
    <n v="51"/>
    <x v="1"/>
    <s v="Phoenix"/>
    <d v="2023-06-10T00:00:00"/>
    <x v="3"/>
    <n v="516.55999999999995"/>
    <n v="1"/>
    <n v="516.55999999999995"/>
    <n v="4"/>
    <n v="1"/>
  </r>
  <r>
    <n v="137"/>
    <s v="Customer_137"/>
    <n v="43.5"/>
    <x v="2"/>
    <s v="New York"/>
    <d v="2023-01-26T00:00:00"/>
    <x v="0"/>
    <n v="536.79"/>
    <n v="6"/>
    <n v="89.464999999999989"/>
    <n v="3"/>
    <n v="10"/>
  </r>
  <r>
    <n v="138"/>
    <s v="Customer_138"/>
    <n v="65"/>
    <x v="0"/>
    <s v="New York"/>
    <s v="09/15/2023"/>
    <x v="0"/>
    <n v="116.1"/>
    <n v="7"/>
    <n v="16.585714285714285"/>
    <n v="3"/>
    <n v="3"/>
  </r>
  <r>
    <n v="139"/>
    <s v="Customer_139"/>
    <n v="43.5"/>
    <x v="0"/>
    <s v="Phoenix"/>
    <d v="2023-01-30T00:00:00"/>
    <x v="2"/>
    <n v="654.16747058823523"/>
    <n v="3"/>
    <n v="218.05582352941175"/>
    <n v="4"/>
    <n v="7.9588235294117649"/>
  </r>
  <r>
    <n v="140"/>
    <s v="Customer_140"/>
    <n v="40"/>
    <x v="0"/>
    <s v="New York"/>
    <d v="2023-04-06T00:00:00"/>
    <x v="1"/>
    <n v="537.29"/>
    <n v="8"/>
    <n v="67.161249999999995"/>
    <n v="3"/>
    <n v="6"/>
  </r>
  <r>
    <n v="141"/>
    <s v="Customer_141"/>
    <n v="41"/>
    <x v="0"/>
    <s v="Houston"/>
    <d v="2023-11-01T00:00:00"/>
    <x v="2"/>
    <n v="250.05"/>
    <n v="5"/>
    <n v="50.010000000000005"/>
    <n v="1"/>
    <n v="5"/>
  </r>
  <r>
    <n v="142"/>
    <s v="Customer_142"/>
    <n v="43.5"/>
    <x v="2"/>
    <s v="Phoenix"/>
    <d v="2023-12-12T00:00:00"/>
    <x v="2"/>
    <n v="276.55"/>
    <n v="9"/>
    <n v="30.727777777777778"/>
    <n v="3"/>
    <n v="5"/>
  </r>
  <r>
    <n v="143"/>
    <s v="Customer_143"/>
    <n v="52"/>
    <x v="0"/>
    <s v="Chicago"/>
    <d v="2023-07-26T00:00:00"/>
    <x v="1"/>
    <n v="654.16747058823523"/>
    <n v="5"/>
    <n v="130.83349411764704"/>
    <n v="5"/>
    <n v="7.9588235294117649"/>
  </r>
  <r>
    <n v="144"/>
    <s v="Customer_144"/>
    <n v="61"/>
    <x v="1"/>
    <s v="New York"/>
    <s v="10/19/2023"/>
    <x v="1"/>
    <n v="29.87"/>
    <n v="9"/>
    <n v="3.318888888888889"/>
    <n v="3"/>
    <n v="7"/>
  </r>
  <r>
    <n v="145"/>
    <s v="Customer_145"/>
    <n v="57"/>
    <x v="0"/>
    <s v="New York"/>
    <d v="2023-10-24T00:00:00"/>
    <x v="0"/>
    <n v="328.86"/>
    <n v="4"/>
    <n v="82.215000000000003"/>
    <n v="2"/>
    <n v="1"/>
  </r>
  <r>
    <n v="146"/>
    <s v="Customer_146"/>
    <n v="43.5"/>
    <x v="0"/>
    <s v="New York"/>
    <d v="2023-11-14T00:00:00"/>
    <x v="0"/>
    <n v="219.33"/>
    <n v="9"/>
    <n v="24.37"/>
    <n v="1"/>
    <n v="9"/>
  </r>
  <r>
    <n v="147"/>
    <s v="Customer_147"/>
    <n v="44"/>
    <x v="0"/>
    <s v="New York"/>
    <d v="2023-08-03T00:00:00"/>
    <x v="0"/>
    <n v="334.22"/>
    <n v="5"/>
    <n v="66.844000000000008"/>
    <n v="2"/>
    <n v="3"/>
  </r>
  <r>
    <n v="148"/>
    <s v="Customer_148"/>
    <n v="43.5"/>
    <x v="1"/>
    <s v="Houston"/>
    <s v="05/14/2023"/>
    <x v="3"/>
    <n v="128.56"/>
    <n v="9"/>
    <n v="14.284444444444444"/>
    <n v="0"/>
    <n v="4"/>
  </r>
  <r>
    <n v="149"/>
    <s v="Customer_149"/>
    <n v="18"/>
    <x v="0"/>
    <s v="Phoenix"/>
    <d v="2023-12-09T00:00:00"/>
    <x v="0"/>
    <n v="891.62"/>
    <n v="3"/>
    <n v="297.20666666666665"/>
    <n v="5"/>
    <n v="10"/>
  </r>
  <r>
    <n v="150"/>
    <s v="Customer_150"/>
    <n v="52"/>
    <x v="0"/>
    <s v="Houston"/>
    <d v="2023-05-03T00:00:00"/>
    <x v="1"/>
    <n v="654.16747058823523"/>
    <n v="4"/>
    <n v="163.54186764705881"/>
    <n v="1"/>
    <n v="1"/>
  </r>
  <r>
    <n v="151"/>
    <s v="Customer_151"/>
    <n v="54"/>
    <x v="0"/>
    <s v="Los Angeles"/>
    <s v="07/22/2023"/>
    <x v="2"/>
    <n v="682.31"/>
    <n v="9"/>
    <n v="75.812222222222218"/>
    <n v="1"/>
    <n v="13"/>
  </r>
  <r>
    <n v="152"/>
    <s v="Customer_152"/>
    <n v="64"/>
    <x v="1"/>
    <s v="Los Angeles"/>
    <d v="2023-12-10T00:00:00"/>
    <x v="0"/>
    <n v="791.28"/>
    <n v="6"/>
    <n v="131.88"/>
    <n v="1"/>
    <n v="11"/>
  </r>
  <r>
    <n v="153"/>
    <s v="Customer_153"/>
    <n v="31"/>
    <x v="0"/>
    <s v="Phoenix"/>
    <d v="2023-08-23T00:00:00"/>
    <x v="1"/>
    <n v="503.46"/>
    <n v="2"/>
    <n v="251.73"/>
    <n v="1"/>
    <n v="10"/>
  </r>
  <r>
    <n v="154"/>
    <s v="Customer_154"/>
    <n v="20"/>
    <x v="0"/>
    <s v="Chicago"/>
    <d v="2023-02-07T00:00:00"/>
    <x v="0"/>
    <n v="96.05"/>
    <n v="7"/>
    <n v="13.721428571428572"/>
    <n v="1"/>
    <n v="7.9588235294117649"/>
  </r>
  <r>
    <n v="155"/>
    <s v="Customer_155"/>
    <n v="18"/>
    <x v="0"/>
    <s v="Houston"/>
    <d v="2023-08-23T00:00:00"/>
    <x v="0"/>
    <n v="654.16747058823523"/>
    <n v="2"/>
    <n v="327.08373529411762"/>
    <n v="5"/>
    <n v="2"/>
  </r>
  <r>
    <n v="156"/>
    <s v="Customer_156"/>
    <n v="22"/>
    <x v="0"/>
    <s v="New York"/>
    <d v="2023-07-02T00:00:00"/>
    <x v="0"/>
    <n v="590.97"/>
    <n v="2"/>
    <n v="295.48500000000001"/>
    <n v="3"/>
    <n v="2"/>
  </r>
  <r>
    <n v="157"/>
    <s v="Customer_157"/>
    <n v="43"/>
    <x v="2"/>
    <s v="New York"/>
    <d v="2023-09-17T00:00:00"/>
    <x v="2"/>
    <n v="747.99"/>
    <n v="1"/>
    <n v="747.99"/>
    <n v="2"/>
    <n v="14"/>
  </r>
  <r>
    <n v="158"/>
    <s v="Customer_158"/>
    <n v="72"/>
    <x v="0"/>
    <s v="New York"/>
    <d v="2023-03-09T00:00:00"/>
    <x v="0"/>
    <n v="437.34"/>
    <n v="3"/>
    <n v="145.78"/>
    <n v="1"/>
    <n v="7.9588235294117649"/>
  </r>
  <r>
    <n v="159"/>
    <s v="Customer_159"/>
    <n v="31"/>
    <x v="0"/>
    <s v="Phoenix"/>
    <d v="2023-05-02T00:00:00"/>
    <x v="2"/>
    <n v="654.16747058823523"/>
    <n v="6"/>
    <n v="109.02791176470588"/>
    <n v="3"/>
    <n v="8"/>
  </r>
  <r>
    <n v="160"/>
    <s v="Customer_160"/>
    <n v="43.5"/>
    <x v="0"/>
    <s v="Chicago"/>
    <d v="2023-07-09T00:00:00"/>
    <x v="2"/>
    <n v="290.94"/>
    <n v="8"/>
    <n v="36.3675"/>
    <n v="3"/>
    <n v="3"/>
  </r>
  <r>
    <n v="161"/>
    <s v="Customer_161"/>
    <n v="43.5"/>
    <x v="0"/>
    <s v="Los Angeles"/>
    <d v="2023-03-22T00:00:00"/>
    <x v="1"/>
    <n v="369.45"/>
    <n v="9"/>
    <n v="41.05"/>
    <n v="2"/>
    <n v="3"/>
  </r>
  <r>
    <n v="162"/>
    <s v="Customer_162"/>
    <n v="26"/>
    <x v="0"/>
    <s v="Los Angeles"/>
    <d v="2023-10-06T00:00:00"/>
    <x v="0"/>
    <n v="654.16747058823523"/>
    <n v="7"/>
    <n v="93.452495798319319"/>
    <n v="5"/>
    <n v="6"/>
  </r>
  <r>
    <n v="163"/>
    <s v="Customer_163"/>
    <n v="32"/>
    <x v="0"/>
    <s v="New York"/>
    <d v="2023-11-10T00:00:00"/>
    <x v="0"/>
    <n v="575.07000000000005"/>
    <n v="4"/>
    <n v="143.76750000000001"/>
    <n v="4"/>
    <n v="13"/>
  </r>
  <r>
    <n v="164"/>
    <s v="Customer_164"/>
    <n v="32"/>
    <x v="0"/>
    <s v="Phoenix"/>
    <d v="2023-12-08T00:00:00"/>
    <x v="0"/>
    <n v="362.54"/>
    <n v="6"/>
    <n v="60.423333333333339"/>
    <n v="4"/>
    <n v="8"/>
  </r>
  <r>
    <n v="165"/>
    <s v="Customer_165"/>
    <n v="43"/>
    <x v="2"/>
    <s v="Houston"/>
    <d v="2023-12-06T00:00:00"/>
    <x v="0"/>
    <n v="986.65"/>
    <n v="5"/>
    <n v="197.32999999999998"/>
    <n v="3"/>
    <n v="13"/>
  </r>
  <r>
    <n v="166"/>
    <s v="Customer_166"/>
    <n v="59"/>
    <x v="1"/>
    <s v="Los Angeles"/>
    <d v="2023-03-10T00:00:00"/>
    <x v="2"/>
    <n v="609.72"/>
    <n v="8"/>
    <n v="76.215000000000003"/>
    <n v="0"/>
    <n v="9"/>
  </r>
  <r>
    <n v="167"/>
    <s v="Customer_167"/>
    <n v="30"/>
    <x v="2"/>
    <s v="Houston"/>
    <d v="2023-03-01T00:00:00"/>
    <x v="0"/>
    <n v="244.85"/>
    <n v="1"/>
    <n v="244.85"/>
    <n v="4"/>
    <n v="7.9588235294117649"/>
  </r>
  <r>
    <n v="168"/>
    <s v="Customer_168"/>
    <n v="68"/>
    <x v="0"/>
    <s v="Chicago"/>
    <d v="2023-11-10T00:00:00"/>
    <x v="3"/>
    <n v="110.76"/>
    <n v="1"/>
    <n v="110.76"/>
    <n v="3"/>
    <n v="4"/>
  </r>
  <r>
    <n v="169"/>
    <s v="Customer_169"/>
    <n v="49"/>
    <x v="2"/>
    <s v="Los Angeles"/>
    <d v="2023-05-20T00:00:00"/>
    <x v="1"/>
    <n v="161.33000000000001"/>
    <n v="6"/>
    <n v="26.888333333333335"/>
    <n v="5"/>
    <n v="14"/>
  </r>
  <r>
    <n v="170"/>
    <s v="Customer_170"/>
    <n v="56"/>
    <x v="1"/>
    <s v="Los Angeles"/>
    <d v="2023-06-11T00:00:00"/>
    <x v="0"/>
    <n v="253.5"/>
    <n v="2"/>
    <n v="126.75"/>
    <n v="4"/>
    <n v="5"/>
  </r>
  <r>
    <n v="171"/>
    <s v="Customer_171"/>
    <n v="66"/>
    <x v="0"/>
    <s v="Chicago"/>
    <s v="06/25/2023"/>
    <x v="1"/>
    <n v="169.07"/>
    <n v="5"/>
    <n v="33.814"/>
    <n v="0"/>
    <n v="2"/>
  </r>
  <r>
    <n v="172"/>
    <s v="Customer_172"/>
    <n v="69"/>
    <x v="0"/>
    <s v="Los Angeles"/>
    <d v="2023-12-18T00:00:00"/>
    <x v="3"/>
    <n v="194.7"/>
    <n v="1"/>
    <n v="194.7"/>
    <n v="0"/>
    <n v="11"/>
  </r>
  <r>
    <n v="173"/>
    <s v="Customer_173"/>
    <n v="43.5"/>
    <x v="1"/>
    <s v="New York"/>
    <d v="2023-09-16T00:00:00"/>
    <x v="3"/>
    <n v="292.24"/>
    <n v="7"/>
    <n v="41.748571428571431"/>
    <n v="1"/>
    <n v="9"/>
  </r>
  <r>
    <n v="174"/>
    <s v="Customer_174"/>
    <n v="21"/>
    <x v="0"/>
    <s v="Phoenix"/>
    <d v="2023-05-09T00:00:00"/>
    <x v="1"/>
    <n v="181.64"/>
    <n v="1"/>
    <n v="181.64"/>
    <n v="5"/>
    <n v="8"/>
  </r>
  <r>
    <n v="175"/>
    <s v="Customer_175"/>
    <n v="47"/>
    <x v="0"/>
    <s v="Phoenix"/>
    <d v="2023-02-17T00:00:00"/>
    <x v="0"/>
    <n v="897.8"/>
    <n v="4"/>
    <n v="224.45"/>
    <n v="1"/>
    <n v="3"/>
  </r>
  <r>
    <n v="176"/>
    <s v="Customer_176"/>
    <n v="54"/>
    <x v="1"/>
    <s v="Houston"/>
    <d v="2023-05-22T00:00:00"/>
    <x v="2"/>
    <n v="89.43"/>
    <n v="9"/>
    <n v="9.9366666666666674"/>
    <n v="2"/>
    <n v="11"/>
  </r>
  <r>
    <n v="177"/>
    <s v="Customer_177"/>
    <n v="40"/>
    <x v="0"/>
    <s v="Chicago"/>
    <d v="2023-01-02T00:00:00"/>
    <x v="0"/>
    <n v="529.27"/>
    <n v="1"/>
    <n v="529.27"/>
    <n v="1"/>
    <n v="12"/>
  </r>
  <r>
    <n v="178"/>
    <s v="Customer_178"/>
    <n v="56"/>
    <x v="0"/>
    <s v="Los Angeles"/>
    <d v="2023-03-08T00:00:00"/>
    <x v="0"/>
    <n v="416.29"/>
    <n v="4"/>
    <n v="104.07250000000001"/>
    <n v="1"/>
    <n v="13"/>
  </r>
  <r>
    <n v="179"/>
    <s v="Customer_179"/>
    <n v="43.5"/>
    <x v="0"/>
    <s v="New York"/>
    <d v="2023-03-24T00:00:00"/>
    <x v="2"/>
    <n v="982.55"/>
    <n v="6"/>
    <n v="163.75833333333333"/>
    <n v="0"/>
    <n v="9"/>
  </r>
  <r>
    <n v="180"/>
    <s v="Customer_180"/>
    <n v="32"/>
    <x v="1"/>
    <s v="Houston"/>
    <d v="2023-10-10T00:00:00"/>
    <x v="0"/>
    <n v="654.16747058823523"/>
    <n v="6"/>
    <n v="109.02791176470588"/>
    <n v="3"/>
    <n v="3"/>
  </r>
  <r>
    <n v="181"/>
    <s v="Customer_181"/>
    <n v="60"/>
    <x v="1"/>
    <s v="Chicago"/>
    <d v="2023-10-15T00:00:00"/>
    <x v="0"/>
    <n v="403.88"/>
    <n v="8"/>
    <n v="50.484999999999999"/>
    <n v="5"/>
    <n v="9"/>
  </r>
  <r>
    <n v="182"/>
    <s v="Customer_182"/>
    <n v="46"/>
    <x v="2"/>
    <s v="Houston"/>
    <d v="2023-02-27T00:00:00"/>
    <x v="2"/>
    <n v="654.16747058823523"/>
    <n v="1"/>
    <n v="654.16747058823523"/>
    <n v="1"/>
    <n v="7.9588235294117649"/>
  </r>
  <r>
    <n v="183"/>
    <s v="Customer_183"/>
    <n v="43.5"/>
    <x v="0"/>
    <s v="Houston"/>
    <s v="12/20/2023"/>
    <x v="2"/>
    <n v="866.85"/>
    <n v="7"/>
    <n v="123.83571428571429"/>
    <n v="0"/>
    <n v="12"/>
  </r>
  <r>
    <n v="184"/>
    <s v="Customer_184"/>
    <n v="43.5"/>
    <x v="0"/>
    <s v="Los Angeles"/>
    <d v="2023-10-07T00:00:00"/>
    <x v="3"/>
    <n v="654.16747058823523"/>
    <n v="1"/>
    <n v="654.16747058823523"/>
    <n v="1"/>
    <n v="10"/>
  </r>
  <r>
    <n v="185"/>
    <s v="Customer_185"/>
    <n v="49"/>
    <x v="0"/>
    <s v="Chicago"/>
    <d v="2023-09-07T00:00:00"/>
    <x v="0"/>
    <n v="265.32"/>
    <n v="7"/>
    <n v="37.902857142857144"/>
    <n v="0"/>
    <n v="9"/>
  </r>
  <r>
    <n v="186"/>
    <s v="Customer_186"/>
    <n v="24"/>
    <x v="2"/>
    <s v="Houston"/>
    <d v="2023-09-08T00:00:00"/>
    <x v="3"/>
    <n v="179.18"/>
    <n v="3"/>
    <n v="59.726666666666667"/>
    <n v="1"/>
    <n v="8"/>
  </r>
  <r>
    <n v="187"/>
    <s v="Customer_187"/>
    <n v="68"/>
    <x v="0"/>
    <s v="New York"/>
    <d v="2023-01-22T00:00:00"/>
    <x v="1"/>
    <n v="654.16747058823523"/>
    <n v="8"/>
    <n v="81.770933823529404"/>
    <n v="0"/>
    <n v="9"/>
  </r>
  <r>
    <n v="188"/>
    <s v="Customer_188"/>
    <n v="39"/>
    <x v="1"/>
    <s v="New York"/>
    <d v="2023-07-06T00:00:00"/>
    <x v="2"/>
    <n v="654.16747058823523"/>
    <n v="3"/>
    <n v="218.05582352941175"/>
    <n v="3"/>
    <n v="5"/>
  </r>
  <r>
    <n v="189"/>
    <s v="Customer_189"/>
    <n v="45"/>
    <x v="0"/>
    <s v="Phoenix"/>
    <d v="2023-03-07T00:00:00"/>
    <x v="2"/>
    <n v="561.20000000000005"/>
    <n v="1"/>
    <n v="561.20000000000005"/>
    <n v="2"/>
    <n v="11"/>
  </r>
  <r>
    <n v="190"/>
    <s v="Customer_190"/>
    <n v="19"/>
    <x v="0"/>
    <s v="Chicago"/>
    <s v="12/16/2023"/>
    <x v="1"/>
    <n v="575.9"/>
    <n v="8"/>
    <n v="71.987499999999997"/>
    <n v="1"/>
    <n v="11"/>
  </r>
  <r>
    <n v="191"/>
    <s v="Customer_191"/>
    <n v="59"/>
    <x v="0"/>
    <s v="Chicago"/>
    <d v="2023-12-08T00:00:00"/>
    <x v="1"/>
    <n v="287.18"/>
    <n v="3"/>
    <n v="95.726666666666674"/>
    <n v="0"/>
    <n v="7.9588235294117649"/>
  </r>
  <r>
    <n v="192"/>
    <s v="Customer_192"/>
    <n v="62"/>
    <x v="0"/>
    <s v="Phoenix"/>
    <d v="2023-07-01T00:00:00"/>
    <x v="0"/>
    <n v="771.8"/>
    <n v="2"/>
    <n v="385.9"/>
    <n v="2"/>
    <n v="7.9588235294117649"/>
  </r>
  <r>
    <n v="193"/>
    <s v="Customer_193"/>
    <n v="74"/>
    <x v="0"/>
    <s v="Houston"/>
    <s v="11/14/2023"/>
    <x v="2"/>
    <n v="195.17"/>
    <n v="1"/>
    <n v="195.17"/>
    <n v="2"/>
    <n v="12"/>
  </r>
  <r>
    <n v="194"/>
    <s v="Customer_194"/>
    <n v="70"/>
    <x v="2"/>
    <s v="Chicago"/>
    <d v="2023-02-05T00:00:00"/>
    <x v="1"/>
    <n v="330.44"/>
    <n v="3"/>
    <n v="110.14666666666666"/>
    <n v="1"/>
    <n v="7.9588235294117649"/>
  </r>
  <r>
    <n v="195"/>
    <s v="Customer_195"/>
    <n v="43.5"/>
    <x v="0"/>
    <s v="New York"/>
    <d v="2023-04-01T00:00:00"/>
    <x v="1"/>
    <n v="8596.77"/>
    <n v="2"/>
    <n v="4298.3850000000002"/>
    <n v="2"/>
    <n v="8"/>
  </r>
  <r>
    <n v="196"/>
    <s v="Customer_196"/>
    <n v="45"/>
    <x v="1"/>
    <s v="New York"/>
    <s v="01/13/2023"/>
    <x v="2"/>
    <n v="512.53"/>
    <n v="2"/>
    <n v="256.26499999999999"/>
    <n v="5"/>
    <n v="11"/>
  </r>
  <r>
    <n v="197"/>
    <s v="Customer_197"/>
    <n v="43.5"/>
    <x v="0"/>
    <s v="Los Angeles"/>
    <d v="2023-06-20T00:00:00"/>
    <x v="2"/>
    <n v="249.99"/>
    <n v="6"/>
    <n v="41.664999999999999"/>
    <n v="2"/>
    <n v="5"/>
  </r>
  <r>
    <n v="198"/>
    <s v="Customer_198"/>
    <n v="43.5"/>
    <x v="2"/>
    <s v="Chicago"/>
    <d v="2023-09-12T00:00:00"/>
    <x v="1"/>
    <n v="123.69"/>
    <n v="1"/>
    <n v="123.69"/>
    <n v="5"/>
    <n v="10"/>
  </r>
  <r>
    <n v="199"/>
    <s v="Customer_199"/>
    <n v="61"/>
    <x v="0"/>
    <s v="Houston"/>
    <s v="05/17/2023"/>
    <x v="2"/>
    <n v="614.51"/>
    <n v="2"/>
    <n v="307.255"/>
    <n v="1"/>
    <n v="2"/>
  </r>
  <r>
    <n v="200"/>
    <s v="Customer_200"/>
    <n v="37"/>
    <x v="0"/>
    <s v="Phoenix"/>
    <d v="2023-12-26T00:00:00"/>
    <x v="1"/>
    <n v="295.74"/>
    <n v="6"/>
    <n v="49.29"/>
    <n v="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9A1F4-E086-4CFB-88E6-FD9EA8D23CFA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 colHeaderCaption="Product Category">
  <location ref="A11:F16" firstHeaderRow="1" firstDataRow="2" firstDataCol="1"/>
  <pivotFields count="12">
    <pivotField dataField="1" numFmtId="1" showAll="0"/>
    <pivotField showAll="0"/>
    <pivotField numFmtI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ustomer_ID" fld="0" subtotal="count" baseField="3" baseItem="0"/>
  </dataFields>
  <formats count="14">
    <format dxfId="22">
      <pivotArea field="6" type="button" dataOnly="0" labelOnly="1" outline="0" axis="axisCol" fieldPosition="0"/>
    </format>
    <format dxfId="21">
      <pivotArea type="topRight" dataOnly="0" labelOnly="1" outline="0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6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1">
          <reference field="6" count="0"/>
        </references>
      </pivotArea>
    </format>
    <format dxfId="11">
      <pivotArea dataOnly="0" labelOnly="1" grandCol="1" outline="0" fieldPosition="0"/>
    </format>
    <format dxfId="10">
      <pivotArea type="topRight" dataOnly="0" labelOnly="1" outline="0" fieldPosition="0"/>
    </format>
    <format dxfId="9">
      <pivotArea type="topRight" dataOnly="0" labelOnly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DC2DAE-C7DB-4ACB-855E-790A05D6BC5E}" name="Table2" displayName="Table2" ref="A3:E7" totalsRowShown="0" headerRowDxfId="8" headerRowBorderDxfId="7" tableBorderDxfId="6" totalsRowBorderDxfId="5">
  <tableColumns count="5">
    <tableColumn id="1" xr3:uid="{97E41F15-22EA-40FF-A175-C5F54EC1BD91}" name="Stastistic" dataDxfId="4"/>
    <tableColumn id="2" xr3:uid="{9372E431-80D3-4B5E-960B-36368DF10B04}" name="Age" dataDxfId="3"/>
    <tableColumn id="3" xr3:uid="{28A0D349-DD5C-4DB2-88C0-24B617922B43}" name="Purchase amount" dataDxfId="2"/>
    <tableColumn id="4" xr3:uid="{4FF6511E-6A8C-4B50-A718-580F94CD6647}" name="Quantity" dataDxfId="1"/>
    <tableColumn id="5" xr3:uid="{05DC3A73-AB24-4C40-AFDB-B60D6142950B}" name="Delivery time 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1FB891-744F-4FC1-8966-D4D5359F54CB}" name="Table1" displayName="Table1" ref="M18:N22" totalsRowShown="0">
  <autoFilter ref="M18:N22" xr:uid="{921FB891-744F-4FC1-8966-D4D5359F54CB}"/>
  <tableColumns count="2">
    <tableColumn id="1" xr3:uid="{B78E0A46-32D2-4755-A5CB-3F2311586EB3}" name="Category"/>
    <tableColumn id="2" xr3:uid="{1DB6923E-8523-4299-BED8-4BF5A2985522}" name="Average 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showGridLines="0" tabSelected="1" workbookViewId="0">
      <selection sqref="A1:E1"/>
    </sheetView>
  </sheetViews>
  <sheetFormatPr defaultRowHeight="14.4" x14ac:dyDescent="0.3"/>
  <cols>
    <col min="1" max="1" width="80" customWidth="1"/>
    <col min="2" max="2" width="0.21875" customWidth="1"/>
    <col min="3" max="5" width="8.88671875" hidden="1" customWidth="1"/>
  </cols>
  <sheetData>
    <row r="1" spans="1:5" ht="30" customHeight="1" x14ac:dyDescent="0.3">
      <c r="A1" s="36" t="s">
        <v>321</v>
      </c>
      <c r="B1" s="37"/>
      <c r="C1" s="37"/>
      <c r="D1" s="37"/>
      <c r="E1" s="37"/>
    </row>
    <row r="2" spans="1:5" x14ac:dyDescent="0.3">
      <c r="A2" s="1"/>
      <c r="B2" s="1"/>
      <c r="C2" s="1"/>
      <c r="D2" s="1"/>
      <c r="E2" s="1"/>
    </row>
    <row r="3" spans="1:5" ht="15.6" x14ac:dyDescent="0.3">
      <c r="A3" s="21" t="s">
        <v>0</v>
      </c>
      <c r="B3" s="1"/>
      <c r="C3" s="1"/>
      <c r="D3" s="1"/>
      <c r="E3" s="1"/>
    </row>
    <row r="4" spans="1:5" x14ac:dyDescent="0.3">
      <c r="A4" s="1" t="s">
        <v>1</v>
      </c>
      <c r="B4" s="1"/>
      <c r="C4" s="1"/>
      <c r="D4" s="1"/>
      <c r="E4" s="1"/>
    </row>
    <row r="5" spans="1:5" x14ac:dyDescent="0.3">
      <c r="A5" s="1" t="s">
        <v>2</v>
      </c>
      <c r="B5" s="1"/>
      <c r="C5" s="1"/>
      <c r="D5" s="1"/>
      <c r="E5" s="1"/>
    </row>
    <row r="6" spans="1:5" x14ac:dyDescent="0.3">
      <c r="A6" s="1" t="s">
        <v>3</v>
      </c>
      <c r="B6" s="1"/>
      <c r="C6" s="1"/>
      <c r="D6" s="1"/>
      <c r="E6" s="1"/>
    </row>
    <row r="7" spans="1:5" x14ac:dyDescent="0.3">
      <c r="A7" s="1" t="s">
        <v>4</v>
      </c>
      <c r="B7" s="1"/>
      <c r="C7" s="1"/>
      <c r="D7" s="1"/>
      <c r="E7" s="1"/>
    </row>
    <row r="8" spans="1:5" x14ac:dyDescent="0.3">
      <c r="A8" s="1" t="s">
        <v>5</v>
      </c>
      <c r="B8" s="1"/>
      <c r="C8" s="1"/>
      <c r="D8" s="1"/>
      <c r="E8" s="1"/>
    </row>
    <row r="9" spans="1:5" x14ac:dyDescent="0.3">
      <c r="A9" s="1" t="s">
        <v>6</v>
      </c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ht="15.6" x14ac:dyDescent="0.3">
      <c r="A11" s="22" t="s">
        <v>7</v>
      </c>
      <c r="B11" s="1"/>
      <c r="C11" s="1"/>
      <c r="D11" s="1"/>
      <c r="E11" s="1"/>
    </row>
    <row r="12" spans="1:5" x14ac:dyDescent="0.3">
      <c r="A12" s="1" t="s">
        <v>307</v>
      </c>
      <c r="B12" s="1"/>
      <c r="C12" s="1"/>
      <c r="D12" s="1"/>
      <c r="E12" s="1"/>
    </row>
    <row r="13" spans="1:5" x14ac:dyDescent="0.3">
      <c r="A13" s="1" t="s">
        <v>306</v>
      </c>
      <c r="B13" s="1"/>
      <c r="C13" s="1"/>
      <c r="D13" s="1"/>
      <c r="E13" s="1"/>
    </row>
    <row r="14" spans="1:5" x14ac:dyDescent="0.3">
      <c r="A14" s="1" t="s">
        <v>308</v>
      </c>
      <c r="B14" s="1"/>
      <c r="C14" s="1"/>
      <c r="D14" s="1"/>
      <c r="E14" s="1"/>
    </row>
    <row r="15" spans="1:5" x14ac:dyDescent="0.3">
      <c r="A15" s="1" t="s">
        <v>309</v>
      </c>
      <c r="B15" s="1"/>
      <c r="C15" s="1"/>
      <c r="D15" s="1"/>
      <c r="E15" s="1"/>
    </row>
    <row r="16" spans="1:5" x14ac:dyDescent="0.3">
      <c r="A16" s="1" t="s">
        <v>310</v>
      </c>
      <c r="B16" s="1"/>
      <c r="C16" s="1"/>
      <c r="D16" s="1"/>
      <c r="E16" s="1"/>
    </row>
    <row r="17" spans="1:5" x14ac:dyDescent="0.3">
      <c r="A17" s="1" t="s">
        <v>311</v>
      </c>
      <c r="B17" s="1"/>
      <c r="C17" s="1"/>
      <c r="D17" s="1"/>
      <c r="E17" s="1"/>
    </row>
    <row r="18" spans="1:5" x14ac:dyDescent="0.3">
      <c r="A18" s="1" t="s">
        <v>312</v>
      </c>
      <c r="B18" s="1"/>
      <c r="C18" s="1"/>
      <c r="D18" s="1"/>
      <c r="E18" s="1"/>
    </row>
    <row r="19" spans="1:5" x14ac:dyDescent="0.3">
      <c r="A19" s="1" t="s">
        <v>313</v>
      </c>
      <c r="B19" s="1"/>
      <c r="C19" s="1"/>
      <c r="D19" s="1"/>
      <c r="E19" s="1"/>
    </row>
    <row r="20" spans="1:5" x14ac:dyDescent="0.3">
      <c r="A20" s="1" t="s">
        <v>314</v>
      </c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ht="15.6" x14ac:dyDescent="0.3">
      <c r="A22" s="22" t="s">
        <v>8</v>
      </c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 t="s">
        <v>9</v>
      </c>
      <c r="B24" s="1"/>
      <c r="C24" s="1"/>
      <c r="D24" s="1"/>
      <c r="E24" s="1"/>
    </row>
    <row r="25" spans="1:5" x14ac:dyDescent="0.3">
      <c r="A25" s="1" t="s">
        <v>10</v>
      </c>
      <c r="B25" s="1"/>
      <c r="C25" s="1"/>
      <c r="D25" s="1"/>
      <c r="E25" s="1"/>
    </row>
    <row r="26" spans="1:5" x14ac:dyDescent="0.3">
      <c r="A26" s="1" t="s">
        <v>11</v>
      </c>
      <c r="B26" s="1"/>
      <c r="C26" s="1"/>
      <c r="D26" s="1"/>
      <c r="E26" s="1"/>
    </row>
    <row r="27" spans="1:5" x14ac:dyDescent="0.3">
      <c r="A27" s="1" t="s">
        <v>12</v>
      </c>
      <c r="B27" s="1"/>
      <c r="C27" s="1"/>
      <c r="D27" s="1"/>
      <c r="E27" s="1"/>
    </row>
    <row r="28" spans="1:5" x14ac:dyDescent="0.3">
      <c r="A28" s="1" t="s">
        <v>13</v>
      </c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 t="s">
        <v>14</v>
      </c>
      <c r="B30" s="1"/>
      <c r="C30" s="1"/>
      <c r="D30" s="1"/>
      <c r="E30" s="1"/>
    </row>
    <row r="31" spans="1:5" x14ac:dyDescent="0.3">
      <c r="A31" s="1" t="s">
        <v>15</v>
      </c>
      <c r="B31" s="1"/>
      <c r="C31" s="1"/>
      <c r="D31" s="1"/>
      <c r="E31" s="1"/>
    </row>
    <row r="32" spans="1:5" x14ac:dyDescent="0.3">
      <c r="A32" s="1" t="s">
        <v>16</v>
      </c>
      <c r="B32" s="1"/>
      <c r="C32" s="1"/>
      <c r="D32" s="1"/>
      <c r="E32" s="1"/>
    </row>
    <row r="33" spans="1:5" x14ac:dyDescent="0.3">
      <c r="A33" s="1" t="s">
        <v>315</v>
      </c>
      <c r="B33" s="1"/>
      <c r="C33" s="1"/>
      <c r="D33" s="1"/>
      <c r="E33" s="1"/>
    </row>
    <row r="34" spans="1:5" x14ac:dyDescent="0.3">
      <c r="A34" s="1" t="s">
        <v>17</v>
      </c>
      <c r="B34" s="1"/>
      <c r="C34" s="1"/>
      <c r="D34" s="1"/>
      <c r="E34" s="1"/>
    </row>
    <row r="35" spans="1:5" x14ac:dyDescent="0.3">
      <c r="A35" s="1" t="s">
        <v>18</v>
      </c>
      <c r="B35" s="1"/>
      <c r="C35" s="1"/>
      <c r="D35" s="1"/>
      <c r="E35" s="1"/>
    </row>
    <row r="36" spans="1:5" x14ac:dyDescent="0.3">
      <c r="A36" s="1" t="s">
        <v>19</v>
      </c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ht="15.6" x14ac:dyDescent="0.3">
      <c r="A38" s="22" t="s">
        <v>20</v>
      </c>
      <c r="B38" s="1"/>
      <c r="C38" s="1"/>
      <c r="D38" s="1"/>
      <c r="E38" s="1"/>
    </row>
    <row r="39" spans="1:5" x14ac:dyDescent="0.3">
      <c r="A39" s="1" t="s">
        <v>21</v>
      </c>
      <c r="B39" s="1"/>
      <c r="C39" s="1"/>
      <c r="D39" s="1"/>
      <c r="E39" s="1"/>
    </row>
    <row r="40" spans="1:5" x14ac:dyDescent="0.3">
      <c r="A40" s="1" t="s">
        <v>22</v>
      </c>
      <c r="B40" s="1"/>
      <c r="C40" s="1"/>
      <c r="D40" s="1"/>
      <c r="E40" s="1"/>
    </row>
    <row r="41" spans="1:5" x14ac:dyDescent="0.3">
      <c r="A41" s="1" t="s">
        <v>23</v>
      </c>
      <c r="B41" s="1"/>
      <c r="C41" s="1"/>
      <c r="D41" s="1"/>
      <c r="E41" s="1"/>
    </row>
    <row r="42" spans="1:5" x14ac:dyDescent="0.3">
      <c r="A42" s="1" t="s">
        <v>24</v>
      </c>
      <c r="B42" s="1"/>
      <c r="C42" s="1"/>
      <c r="D42" s="1"/>
      <c r="E42" s="1"/>
    </row>
    <row r="43" spans="1:5" x14ac:dyDescent="0.3">
      <c r="A43" s="1" t="s">
        <v>25</v>
      </c>
      <c r="B43" s="1"/>
      <c r="C43" s="1"/>
      <c r="D43" s="1"/>
      <c r="E43" s="1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D1"/>
    </sheetView>
  </sheetViews>
  <sheetFormatPr defaultRowHeight="14.4" x14ac:dyDescent="0.3"/>
  <cols>
    <col min="1" max="1" width="22" customWidth="1"/>
    <col min="2" max="2" width="12" customWidth="1"/>
    <col min="3" max="3" width="40" customWidth="1"/>
    <col min="4" max="4" width="51.44140625" bestFit="1" customWidth="1"/>
  </cols>
  <sheetData>
    <row r="1" spans="1:4" ht="17.399999999999999" x14ac:dyDescent="0.3">
      <c r="A1" s="38" t="s">
        <v>276</v>
      </c>
      <c r="B1" s="39"/>
      <c r="C1" s="39"/>
      <c r="D1" s="39"/>
    </row>
    <row r="2" spans="1:4" x14ac:dyDescent="0.3">
      <c r="A2" s="2" t="s">
        <v>277</v>
      </c>
      <c r="B2" s="2" t="s">
        <v>278</v>
      </c>
      <c r="C2" s="2" t="s">
        <v>279</v>
      </c>
      <c r="D2" s="2" t="s">
        <v>280</v>
      </c>
    </row>
    <row r="3" spans="1:4" x14ac:dyDescent="0.3">
      <c r="A3" s="1" t="s">
        <v>26</v>
      </c>
      <c r="B3" s="1" t="s">
        <v>281</v>
      </c>
      <c r="C3" s="1" t="s">
        <v>282</v>
      </c>
      <c r="D3" s="1" t="s">
        <v>283</v>
      </c>
    </row>
    <row r="4" spans="1:4" x14ac:dyDescent="0.3">
      <c r="A4" s="1" t="s">
        <v>27</v>
      </c>
      <c r="B4" s="1" t="s">
        <v>284</v>
      </c>
      <c r="C4" s="1" t="s">
        <v>285</v>
      </c>
      <c r="D4" s="1" t="s">
        <v>283</v>
      </c>
    </row>
    <row r="5" spans="1:4" x14ac:dyDescent="0.3">
      <c r="A5" s="1" t="s">
        <v>28</v>
      </c>
      <c r="B5" s="1" t="s">
        <v>281</v>
      </c>
      <c r="C5" s="1" t="s">
        <v>286</v>
      </c>
      <c r="D5" s="1" t="s">
        <v>287</v>
      </c>
    </row>
    <row r="6" spans="1:4" x14ac:dyDescent="0.3">
      <c r="A6" s="1" t="s">
        <v>29</v>
      </c>
      <c r="B6" s="1" t="s">
        <v>288</v>
      </c>
      <c r="C6" s="1" t="s">
        <v>289</v>
      </c>
      <c r="D6" s="1" t="s">
        <v>290</v>
      </c>
    </row>
    <row r="7" spans="1:4" x14ac:dyDescent="0.3">
      <c r="A7" s="1" t="s">
        <v>30</v>
      </c>
      <c r="B7" s="1" t="s">
        <v>288</v>
      </c>
      <c r="C7" s="1" t="s">
        <v>291</v>
      </c>
      <c r="D7" s="1" t="s">
        <v>292</v>
      </c>
    </row>
    <row r="8" spans="1:4" x14ac:dyDescent="0.3">
      <c r="A8" s="1" t="s">
        <v>31</v>
      </c>
      <c r="B8" s="1" t="s">
        <v>293</v>
      </c>
      <c r="C8" s="1" t="s">
        <v>294</v>
      </c>
      <c r="D8" s="1" t="s">
        <v>295</v>
      </c>
    </row>
    <row r="9" spans="1:4" x14ac:dyDescent="0.3">
      <c r="A9" s="1" t="s">
        <v>32</v>
      </c>
      <c r="B9" s="1" t="s">
        <v>288</v>
      </c>
      <c r="C9" s="1" t="s">
        <v>296</v>
      </c>
      <c r="D9" s="1" t="s">
        <v>292</v>
      </c>
    </row>
    <row r="10" spans="1:4" x14ac:dyDescent="0.3">
      <c r="A10" s="1" t="s">
        <v>33</v>
      </c>
      <c r="B10" s="1" t="s">
        <v>297</v>
      </c>
      <c r="C10" s="1" t="s">
        <v>298</v>
      </c>
      <c r="D10" s="1" t="s">
        <v>299</v>
      </c>
    </row>
    <row r="11" spans="1:4" x14ac:dyDescent="0.3">
      <c r="A11" s="1" t="s">
        <v>34</v>
      </c>
      <c r="B11" s="1" t="s">
        <v>281</v>
      </c>
      <c r="C11" s="1" t="s">
        <v>300</v>
      </c>
      <c r="D11" s="1" t="s">
        <v>283</v>
      </c>
    </row>
    <row r="12" spans="1:4" x14ac:dyDescent="0.3">
      <c r="A12" s="1" t="s">
        <v>35</v>
      </c>
      <c r="B12" s="1" t="s">
        <v>281</v>
      </c>
      <c r="C12" s="1" t="s">
        <v>301</v>
      </c>
      <c r="D12" s="1" t="s">
        <v>287</v>
      </c>
    </row>
    <row r="13" spans="1:4" x14ac:dyDescent="0.3">
      <c r="A13" s="1" t="s">
        <v>36</v>
      </c>
      <c r="B13" s="1" t="s">
        <v>281</v>
      </c>
      <c r="C13" s="1" t="s">
        <v>302</v>
      </c>
      <c r="D13" s="1" t="s">
        <v>303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1"/>
  <sheetViews>
    <sheetView workbookViewId="0">
      <pane ySplit="1" topLeftCell="A2" activePane="bottomLeft" state="frozen"/>
      <selection pane="bottomLeft" activeCell="J3" sqref="J3"/>
    </sheetView>
  </sheetViews>
  <sheetFormatPr defaultRowHeight="14.4" x14ac:dyDescent="0.3"/>
  <cols>
    <col min="1" max="1" width="12" style="18" customWidth="1"/>
    <col min="2" max="2" width="15" style="9" customWidth="1"/>
    <col min="3" max="3" width="9.33203125" style="16" bestFit="1" customWidth="1"/>
    <col min="4" max="4" width="12" style="9" customWidth="1"/>
    <col min="5" max="5" width="15" style="9" customWidth="1"/>
    <col min="6" max="6" width="15" style="12" customWidth="1"/>
    <col min="7" max="7" width="22.109375" style="9" bestFit="1" customWidth="1"/>
    <col min="8" max="8" width="22.44140625" style="7" bestFit="1" customWidth="1"/>
    <col min="9" max="9" width="13.6640625" style="7" bestFit="1" customWidth="1"/>
    <col min="10" max="10" width="14.88671875" bestFit="1" customWidth="1"/>
    <col min="11" max="11" width="26.6640625" style="7" bestFit="1" customWidth="1"/>
    <col min="12" max="12" width="18.6640625" style="7" bestFit="1" customWidth="1"/>
    <col min="14" max="14" width="18.88671875" bestFit="1" customWidth="1"/>
    <col min="15" max="15" width="20.21875" bestFit="1" customWidth="1"/>
    <col min="16" max="16" width="8" bestFit="1" customWidth="1"/>
    <col min="17" max="17" width="10" bestFit="1" customWidth="1"/>
    <col min="18" max="18" width="5.21875" bestFit="1" customWidth="1"/>
    <col min="19" max="19" width="10.77734375" bestFit="1" customWidth="1"/>
  </cols>
  <sheetData>
    <row r="1" spans="1:12" x14ac:dyDescent="0.3">
      <c r="A1" s="17" t="s">
        <v>26</v>
      </c>
      <c r="B1" s="8" t="s">
        <v>27</v>
      </c>
      <c r="C1" s="15" t="s">
        <v>28</v>
      </c>
      <c r="D1" s="8" t="s">
        <v>29</v>
      </c>
      <c r="E1" s="8" t="s">
        <v>30</v>
      </c>
      <c r="F1" s="11" t="s">
        <v>31</v>
      </c>
      <c r="G1" s="8" t="s">
        <v>32</v>
      </c>
      <c r="H1" s="15" t="s">
        <v>33</v>
      </c>
      <c r="I1" s="15" t="s">
        <v>34</v>
      </c>
      <c r="J1" s="14" t="s">
        <v>305</v>
      </c>
      <c r="K1" s="15" t="s">
        <v>35</v>
      </c>
      <c r="L1" s="13" t="s">
        <v>36</v>
      </c>
    </row>
    <row r="2" spans="1:12" x14ac:dyDescent="0.3">
      <c r="A2" s="5">
        <v>1</v>
      </c>
      <c r="B2" s="6" t="s">
        <v>125</v>
      </c>
      <c r="C2" s="4">
        <v>56</v>
      </c>
      <c r="D2" s="6" t="s">
        <v>38</v>
      </c>
      <c r="E2" s="6" t="s">
        <v>57</v>
      </c>
      <c r="F2" s="10">
        <v>45254</v>
      </c>
      <c r="G2" s="6" t="s">
        <v>51</v>
      </c>
      <c r="H2" s="3">
        <v>86.96</v>
      </c>
      <c r="I2" s="3">
        <v>5</v>
      </c>
      <c r="J2" s="3">
        <f>H2/I2</f>
        <v>17.391999999999999</v>
      </c>
      <c r="K2" s="3">
        <v>0</v>
      </c>
      <c r="L2" s="3">
        <v>8</v>
      </c>
    </row>
    <row r="3" spans="1:12" x14ac:dyDescent="0.3">
      <c r="A3" s="5">
        <v>2</v>
      </c>
      <c r="B3" s="6" t="s">
        <v>257</v>
      </c>
      <c r="C3" s="4">
        <v>69</v>
      </c>
      <c r="D3" s="6" t="s">
        <v>38</v>
      </c>
      <c r="E3" s="6" t="s">
        <v>42</v>
      </c>
      <c r="F3" s="10">
        <v>44939</v>
      </c>
      <c r="G3" s="6" t="s">
        <v>40</v>
      </c>
      <c r="H3" s="3">
        <v>974.65</v>
      </c>
      <c r="I3" s="3">
        <v>4</v>
      </c>
      <c r="J3" s="3">
        <f t="shared" ref="J3:J66" si="0">H3/I3</f>
        <v>243.66249999999999</v>
      </c>
      <c r="K3" s="3">
        <v>4</v>
      </c>
      <c r="L3" s="3">
        <v>2</v>
      </c>
    </row>
    <row r="4" spans="1:12" x14ac:dyDescent="0.3">
      <c r="A4" s="5">
        <v>3</v>
      </c>
      <c r="B4" s="6" t="s">
        <v>151</v>
      </c>
      <c r="C4" s="4">
        <v>46</v>
      </c>
      <c r="D4" s="6" t="s">
        <v>38</v>
      </c>
      <c r="E4" s="6" t="s">
        <v>57</v>
      </c>
      <c r="F4" s="10">
        <v>45082</v>
      </c>
      <c r="G4" s="6" t="s">
        <v>46</v>
      </c>
      <c r="H4" s="3">
        <v>986.35</v>
      </c>
      <c r="I4" s="3">
        <v>3</v>
      </c>
      <c r="J4" s="3">
        <f t="shared" si="0"/>
        <v>328.78333333333336</v>
      </c>
      <c r="K4" s="3">
        <v>1</v>
      </c>
      <c r="L4" s="3">
        <v>11</v>
      </c>
    </row>
    <row r="5" spans="1:12" x14ac:dyDescent="0.3">
      <c r="A5" s="5">
        <v>4</v>
      </c>
      <c r="B5" s="6" t="s">
        <v>207</v>
      </c>
      <c r="C5" s="4">
        <v>32</v>
      </c>
      <c r="D5" s="6" t="s">
        <v>53</v>
      </c>
      <c r="E5" s="6" t="s">
        <v>39</v>
      </c>
      <c r="F5" s="10">
        <v>44998</v>
      </c>
      <c r="G5" s="6" t="s">
        <v>46</v>
      </c>
      <c r="H5" s="3">
        <v>701.18</v>
      </c>
      <c r="I5" s="3">
        <v>1</v>
      </c>
      <c r="J5" s="3">
        <f t="shared" si="0"/>
        <v>701.18</v>
      </c>
      <c r="K5" s="3">
        <v>5</v>
      </c>
      <c r="L5" s="3">
        <v>7</v>
      </c>
    </row>
    <row r="6" spans="1:12" x14ac:dyDescent="0.3">
      <c r="A6" s="5">
        <v>5</v>
      </c>
      <c r="B6" s="6" t="s">
        <v>173</v>
      </c>
      <c r="C6" s="4">
        <v>43.5</v>
      </c>
      <c r="D6" s="6" t="s">
        <v>53</v>
      </c>
      <c r="E6" s="6" t="s">
        <v>42</v>
      </c>
      <c r="F6" s="10">
        <v>45273</v>
      </c>
      <c r="G6" s="6" t="s">
        <v>51</v>
      </c>
      <c r="H6" s="3">
        <v>540.74</v>
      </c>
      <c r="I6" s="3">
        <v>6</v>
      </c>
      <c r="J6" s="3">
        <f t="shared" si="0"/>
        <v>90.123333333333335</v>
      </c>
      <c r="K6" s="3">
        <v>3</v>
      </c>
      <c r="L6" s="3">
        <v>13</v>
      </c>
    </row>
    <row r="7" spans="1:12" x14ac:dyDescent="0.3">
      <c r="A7" s="5">
        <v>6</v>
      </c>
      <c r="B7" s="6" t="s">
        <v>117</v>
      </c>
      <c r="C7" s="4">
        <v>25</v>
      </c>
      <c r="D7" s="6" t="s">
        <v>38</v>
      </c>
      <c r="E7" s="6" t="s">
        <v>39</v>
      </c>
      <c r="F7" s="10">
        <v>45229</v>
      </c>
      <c r="G7" s="6" t="s">
        <v>43</v>
      </c>
      <c r="H7" s="3">
        <v>654.16747058823523</v>
      </c>
      <c r="I7" s="3">
        <v>2</v>
      </c>
      <c r="J7" s="3">
        <f t="shared" si="0"/>
        <v>327.08373529411762</v>
      </c>
      <c r="K7" s="3">
        <v>2</v>
      </c>
      <c r="L7" s="3">
        <v>7.9588235294117649</v>
      </c>
    </row>
    <row r="8" spans="1:12" x14ac:dyDescent="0.3">
      <c r="A8" s="5">
        <v>7</v>
      </c>
      <c r="B8" s="6" t="s">
        <v>143</v>
      </c>
      <c r="C8" s="4">
        <v>38</v>
      </c>
      <c r="D8" s="6" t="s">
        <v>38</v>
      </c>
      <c r="E8" s="6" t="s">
        <v>57</v>
      </c>
      <c r="F8" s="10">
        <v>44943</v>
      </c>
      <c r="G8" s="6" t="s">
        <v>46</v>
      </c>
      <c r="H8" s="3">
        <v>654.16747058823523</v>
      </c>
      <c r="I8" s="3">
        <v>8</v>
      </c>
      <c r="J8" s="3">
        <f t="shared" si="0"/>
        <v>81.770933823529404</v>
      </c>
      <c r="K8" s="3">
        <v>2</v>
      </c>
      <c r="L8" s="3">
        <v>14</v>
      </c>
    </row>
    <row r="9" spans="1:12" x14ac:dyDescent="0.3">
      <c r="A9" s="5">
        <v>8</v>
      </c>
      <c r="B9" s="6" t="s">
        <v>123</v>
      </c>
      <c r="C9" s="4">
        <v>56</v>
      </c>
      <c r="D9" s="6" t="s">
        <v>38</v>
      </c>
      <c r="E9" s="6" t="s">
        <v>42</v>
      </c>
      <c r="F9" s="10" t="s">
        <v>124</v>
      </c>
      <c r="G9" s="6" t="s">
        <v>43</v>
      </c>
      <c r="H9" s="3">
        <v>687.88</v>
      </c>
      <c r="I9" s="3">
        <v>5</v>
      </c>
      <c r="J9" s="3">
        <f t="shared" si="0"/>
        <v>137.57599999999999</v>
      </c>
      <c r="K9" s="3">
        <v>3</v>
      </c>
      <c r="L9" s="3">
        <v>4</v>
      </c>
    </row>
    <row r="10" spans="1:12" x14ac:dyDescent="0.3">
      <c r="A10" s="5">
        <v>9</v>
      </c>
      <c r="B10" s="6" t="s">
        <v>225</v>
      </c>
      <c r="C10" s="4">
        <v>36</v>
      </c>
      <c r="D10" s="6" t="s">
        <v>38</v>
      </c>
      <c r="E10" s="6" t="s">
        <v>39</v>
      </c>
      <c r="F10" s="10">
        <v>45046</v>
      </c>
      <c r="G10" s="6" t="s">
        <v>51</v>
      </c>
      <c r="H10" s="3">
        <v>170.99</v>
      </c>
      <c r="I10" s="3">
        <v>7</v>
      </c>
      <c r="J10" s="3">
        <f t="shared" si="0"/>
        <v>24.427142857142858</v>
      </c>
      <c r="K10" s="3">
        <v>2</v>
      </c>
      <c r="L10" s="3">
        <v>7</v>
      </c>
    </row>
    <row r="11" spans="1:12" x14ac:dyDescent="0.3">
      <c r="A11" s="5">
        <v>10</v>
      </c>
      <c r="B11" s="6" t="s">
        <v>56</v>
      </c>
      <c r="C11" s="4">
        <v>43.5</v>
      </c>
      <c r="D11" s="6" t="s">
        <v>38</v>
      </c>
      <c r="E11" s="6" t="s">
        <v>57</v>
      </c>
      <c r="F11" s="10" t="s">
        <v>58</v>
      </c>
      <c r="G11" s="6" t="s">
        <v>46</v>
      </c>
      <c r="H11" s="3">
        <v>654.16747058823523</v>
      </c>
      <c r="I11" s="3">
        <v>2</v>
      </c>
      <c r="J11" s="3">
        <f t="shared" si="0"/>
        <v>327.08373529411762</v>
      </c>
      <c r="K11" s="3">
        <v>4</v>
      </c>
      <c r="L11" s="3">
        <v>3</v>
      </c>
    </row>
    <row r="12" spans="1:12" x14ac:dyDescent="0.3">
      <c r="A12" s="5">
        <v>11</v>
      </c>
      <c r="B12" s="6" t="s">
        <v>180</v>
      </c>
      <c r="C12" s="4">
        <v>28</v>
      </c>
      <c r="D12" s="6" t="s">
        <v>38</v>
      </c>
      <c r="E12" s="6" t="s">
        <v>42</v>
      </c>
      <c r="F12" s="10">
        <v>45259</v>
      </c>
      <c r="G12" s="6" t="s">
        <v>51</v>
      </c>
      <c r="H12" s="3">
        <v>824.31</v>
      </c>
      <c r="I12" s="3">
        <v>8</v>
      </c>
      <c r="J12" s="3">
        <f t="shared" si="0"/>
        <v>103.03874999999999</v>
      </c>
      <c r="K12" s="3">
        <v>1</v>
      </c>
      <c r="L12" s="3">
        <v>2</v>
      </c>
    </row>
    <row r="13" spans="1:12" x14ac:dyDescent="0.3">
      <c r="A13" s="5">
        <v>12</v>
      </c>
      <c r="B13" s="6" t="s">
        <v>167</v>
      </c>
      <c r="C13" s="4">
        <v>28</v>
      </c>
      <c r="D13" s="6" t="s">
        <v>38</v>
      </c>
      <c r="E13" s="6" t="s">
        <v>39</v>
      </c>
      <c r="F13" s="10">
        <v>45039</v>
      </c>
      <c r="G13" s="6" t="s">
        <v>46</v>
      </c>
      <c r="H13" s="3">
        <v>950.3</v>
      </c>
      <c r="I13" s="3">
        <v>2</v>
      </c>
      <c r="J13" s="3">
        <f t="shared" si="0"/>
        <v>475.15</v>
      </c>
      <c r="K13" s="3">
        <v>4</v>
      </c>
      <c r="L13" s="3">
        <v>11</v>
      </c>
    </row>
    <row r="14" spans="1:12" x14ac:dyDescent="0.3">
      <c r="A14" s="5">
        <v>13</v>
      </c>
      <c r="B14" s="6" t="s">
        <v>127</v>
      </c>
      <c r="C14" s="4">
        <v>41</v>
      </c>
      <c r="D14" s="6" t="s">
        <v>304</v>
      </c>
      <c r="E14" s="6" t="s">
        <v>57</v>
      </c>
      <c r="F14" s="10">
        <v>45228</v>
      </c>
      <c r="G14" s="6" t="s">
        <v>46</v>
      </c>
      <c r="H14" s="3">
        <v>728.46</v>
      </c>
      <c r="I14" s="3">
        <v>4</v>
      </c>
      <c r="J14" s="3">
        <f t="shared" si="0"/>
        <v>182.11500000000001</v>
      </c>
      <c r="K14" s="3">
        <v>2</v>
      </c>
      <c r="L14" s="3">
        <v>10</v>
      </c>
    </row>
    <row r="15" spans="1:12" x14ac:dyDescent="0.3">
      <c r="A15" s="5">
        <v>14</v>
      </c>
      <c r="B15" s="6" t="s">
        <v>226</v>
      </c>
      <c r="C15" s="4">
        <v>70</v>
      </c>
      <c r="D15" s="6" t="s">
        <v>53</v>
      </c>
      <c r="E15" s="6" t="s">
        <v>42</v>
      </c>
      <c r="F15" s="10">
        <v>45017</v>
      </c>
      <c r="G15" s="6" t="s">
        <v>46</v>
      </c>
      <c r="H15" s="3">
        <v>617.28</v>
      </c>
      <c r="I15" s="3">
        <v>1</v>
      </c>
      <c r="J15" s="3">
        <f t="shared" si="0"/>
        <v>617.28</v>
      </c>
      <c r="K15" s="3">
        <v>5</v>
      </c>
      <c r="L15" s="3">
        <v>7</v>
      </c>
    </row>
    <row r="16" spans="1:12" x14ac:dyDescent="0.3">
      <c r="A16" s="5">
        <v>15</v>
      </c>
      <c r="B16" s="6" t="s">
        <v>272</v>
      </c>
      <c r="C16" s="4">
        <v>53</v>
      </c>
      <c r="D16" s="6" t="s">
        <v>38</v>
      </c>
      <c r="E16" s="6" t="s">
        <v>57</v>
      </c>
      <c r="F16" s="10">
        <v>45284</v>
      </c>
      <c r="G16" s="6" t="s">
        <v>46</v>
      </c>
      <c r="H16" s="3">
        <v>424.06</v>
      </c>
      <c r="I16" s="3">
        <v>5</v>
      </c>
      <c r="J16" s="3">
        <f t="shared" si="0"/>
        <v>84.811999999999998</v>
      </c>
      <c r="K16" s="3">
        <v>1</v>
      </c>
      <c r="L16" s="3">
        <v>1</v>
      </c>
    </row>
    <row r="17" spans="1:12" x14ac:dyDescent="0.3">
      <c r="A17" s="5">
        <v>16</v>
      </c>
      <c r="B17" s="6" t="s">
        <v>64</v>
      </c>
      <c r="C17" s="4">
        <v>57</v>
      </c>
      <c r="D17" s="6" t="s">
        <v>38</v>
      </c>
      <c r="E17" s="6" t="s">
        <v>39</v>
      </c>
      <c r="F17" s="10">
        <v>45101</v>
      </c>
      <c r="G17" s="6" t="s">
        <v>46</v>
      </c>
      <c r="H17" s="3">
        <v>933.4</v>
      </c>
      <c r="I17" s="3">
        <v>9</v>
      </c>
      <c r="J17" s="3">
        <f t="shared" si="0"/>
        <v>103.71111111111111</v>
      </c>
      <c r="K17" s="3">
        <v>1</v>
      </c>
      <c r="L17" s="3">
        <v>7.9588235294117649</v>
      </c>
    </row>
    <row r="18" spans="1:12" x14ac:dyDescent="0.3">
      <c r="A18" s="5">
        <v>17</v>
      </c>
      <c r="B18" s="6" t="s">
        <v>80</v>
      </c>
      <c r="C18" s="4">
        <v>41</v>
      </c>
      <c r="D18" s="6" t="s">
        <v>38</v>
      </c>
      <c r="E18" s="6" t="s">
        <v>57</v>
      </c>
      <c r="F18" s="10" t="s">
        <v>81</v>
      </c>
      <c r="G18" s="6" t="s">
        <v>43</v>
      </c>
      <c r="H18" s="3">
        <v>654.16747058823523</v>
      </c>
      <c r="I18" s="3">
        <v>1</v>
      </c>
      <c r="J18" s="3">
        <f t="shared" si="0"/>
        <v>654.16747058823523</v>
      </c>
      <c r="K18" s="3">
        <v>3</v>
      </c>
      <c r="L18" s="3">
        <v>8</v>
      </c>
    </row>
    <row r="19" spans="1:12" x14ac:dyDescent="0.3">
      <c r="A19" s="5">
        <v>18</v>
      </c>
      <c r="B19" s="6" t="s">
        <v>231</v>
      </c>
      <c r="C19" s="4">
        <v>20</v>
      </c>
      <c r="D19" s="6" t="s">
        <v>38</v>
      </c>
      <c r="E19" s="6" t="s">
        <v>57</v>
      </c>
      <c r="F19" s="10">
        <v>45099</v>
      </c>
      <c r="G19" s="6" t="s">
        <v>51</v>
      </c>
      <c r="H19" s="3">
        <v>54.77</v>
      </c>
      <c r="I19" s="3">
        <v>9</v>
      </c>
      <c r="J19" s="3">
        <f t="shared" si="0"/>
        <v>6.0855555555555556</v>
      </c>
      <c r="K19" s="3">
        <v>3</v>
      </c>
      <c r="L19" s="3">
        <v>3</v>
      </c>
    </row>
    <row r="20" spans="1:12" x14ac:dyDescent="0.3">
      <c r="A20" s="5">
        <v>19</v>
      </c>
      <c r="B20" s="6" t="s">
        <v>67</v>
      </c>
      <c r="C20" s="4">
        <v>39</v>
      </c>
      <c r="D20" s="6" t="s">
        <v>304</v>
      </c>
      <c r="E20" s="6" t="s">
        <v>39</v>
      </c>
      <c r="F20" s="10">
        <v>44974</v>
      </c>
      <c r="G20" s="6" t="s">
        <v>40</v>
      </c>
      <c r="H20" s="3">
        <v>36.1</v>
      </c>
      <c r="I20" s="3">
        <v>8</v>
      </c>
      <c r="J20" s="3">
        <f t="shared" si="0"/>
        <v>4.5125000000000002</v>
      </c>
      <c r="K20" s="3">
        <v>5</v>
      </c>
      <c r="L20" s="3">
        <v>12</v>
      </c>
    </row>
    <row r="21" spans="1:12" x14ac:dyDescent="0.3">
      <c r="A21" s="5">
        <v>20</v>
      </c>
      <c r="B21" s="6" t="s">
        <v>112</v>
      </c>
      <c r="C21" s="4">
        <v>70</v>
      </c>
      <c r="D21" s="6" t="s">
        <v>38</v>
      </c>
      <c r="E21" s="6" t="s">
        <v>39</v>
      </c>
      <c r="F21" s="10">
        <v>44976</v>
      </c>
      <c r="G21" s="6" t="s">
        <v>46</v>
      </c>
      <c r="H21" s="3">
        <v>382.7</v>
      </c>
      <c r="I21" s="3">
        <v>6</v>
      </c>
      <c r="J21" s="3">
        <f t="shared" si="0"/>
        <v>63.783333333333331</v>
      </c>
      <c r="K21" s="3">
        <v>0</v>
      </c>
      <c r="L21" s="3">
        <v>12</v>
      </c>
    </row>
    <row r="22" spans="1:12" x14ac:dyDescent="0.3">
      <c r="A22" s="5">
        <v>21</v>
      </c>
      <c r="B22" s="6" t="s">
        <v>268</v>
      </c>
      <c r="C22" s="4">
        <v>19</v>
      </c>
      <c r="D22" s="6" t="s">
        <v>38</v>
      </c>
      <c r="E22" s="6" t="s">
        <v>39</v>
      </c>
      <c r="F22" s="10">
        <v>45103</v>
      </c>
      <c r="G22" s="6" t="s">
        <v>51</v>
      </c>
      <c r="H22" s="3">
        <v>812.45</v>
      </c>
      <c r="I22" s="3">
        <v>7</v>
      </c>
      <c r="J22" s="3">
        <f t="shared" si="0"/>
        <v>116.06428571428572</v>
      </c>
      <c r="K22" s="3">
        <v>5</v>
      </c>
      <c r="L22" s="3">
        <v>13</v>
      </c>
    </row>
    <row r="23" spans="1:12" x14ac:dyDescent="0.3">
      <c r="A23" s="5">
        <v>22</v>
      </c>
      <c r="B23" s="6" t="s">
        <v>250</v>
      </c>
      <c r="C23" s="4">
        <v>41</v>
      </c>
      <c r="D23" s="6" t="s">
        <v>38</v>
      </c>
      <c r="E23" s="6" t="s">
        <v>42</v>
      </c>
      <c r="F23" s="10">
        <v>44949</v>
      </c>
      <c r="G23" s="6" t="s">
        <v>46</v>
      </c>
      <c r="H23" s="3">
        <v>987.4</v>
      </c>
      <c r="I23" s="3">
        <v>3</v>
      </c>
      <c r="J23" s="3">
        <f t="shared" si="0"/>
        <v>329.13333333333333</v>
      </c>
      <c r="K23" s="3">
        <v>3</v>
      </c>
      <c r="L23" s="3">
        <v>7.9588235294117649</v>
      </c>
    </row>
    <row r="24" spans="1:12" x14ac:dyDescent="0.3">
      <c r="A24" s="5">
        <v>23</v>
      </c>
      <c r="B24" s="6" t="s">
        <v>163</v>
      </c>
      <c r="C24" s="4">
        <v>61</v>
      </c>
      <c r="D24" s="6" t="s">
        <v>38</v>
      </c>
      <c r="E24" s="6" t="s">
        <v>42</v>
      </c>
      <c r="F24" s="10">
        <v>45201</v>
      </c>
      <c r="G24" s="6" t="s">
        <v>51</v>
      </c>
      <c r="H24" s="3">
        <v>158.91</v>
      </c>
      <c r="I24" s="3">
        <v>1</v>
      </c>
      <c r="J24" s="3">
        <f t="shared" si="0"/>
        <v>158.91</v>
      </c>
      <c r="K24" s="3">
        <v>3</v>
      </c>
      <c r="L24" s="3">
        <v>7.9588235294117649</v>
      </c>
    </row>
    <row r="25" spans="1:12" x14ac:dyDescent="0.3">
      <c r="A25" s="5">
        <v>24</v>
      </c>
      <c r="B25" s="6" t="s">
        <v>195</v>
      </c>
      <c r="C25" s="4">
        <v>47</v>
      </c>
      <c r="D25" s="6" t="s">
        <v>38</v>
      </c>
      <c r="E25" s="6" t="s">
        <v>42</v>
      </c>
      <c r="F25" s="10">
        <v>45120</v>
      </c>
      <c r="G25" s="6" t="s">
        <v>43</v>
      </c>
      <c r="H25" s="3">
        <v>654.16747058823523</v>
      </c>
      <c r="I25" s="3">
        <v>5</v>
      </c>
      <c r="J25" s="3">
        <f t="shared" si="0"/>
        <v>130.83349411764704</v>
      </c>
      <c r="K25" s="3">
        <v>1</v>
      </c>
      <c r="L25" s="3">
        <v>5</v>
      </c>
    </row>
    <row r="26" spans="1:12" x14ac:dyDescent="0.3">
      <c r="A26" s="5">
        <v>25</v>
      </c>
      <c r="B26" s="6" t="s">
        <v>108</v>
      </c>
      <c r="C26" s="4">
        <v>55</v>
      </c>
      <c r="D26" s="6" t="s">
        <v>53</v>
      </c>
      <c r="E26" s="6" t="s">
        <v>57</v>
      </c>
      <c r="F26" s="10">
        <v>45209</v>
      </c>
      <c r="G26" s="6" t="s">
        <v>51</v>
      </c>
      <c r="H26" s="3">
        <v>387.08</v>
      </c>
      <c r="I26" s="3">
        <v>2</v>
      </c>
      <c r="J26" s="3">
        <f t="shared" si="0"/>
        <v>193.54</v>
      </c>
      <c r="K26" s="3">
        <v>0</v>
      </c>
      <c r="L26" s="3">
        <v>11</v>
      </c>
    </row>
    <row r="27" spans="1:12" x14ac:dyDescent="0.3">
      <c r="A27" s="5">
        <v>26</v>
      </c>
      <c r="B27" s="6" t="s">
        <v>78</v>
      </c>
      <c r="C27" s="4">
        <v>19</v>
      </c>
      <c r="D27" s="6" t="s">
        <v>53</v>
      </c>
      <c r="E27" s="6" t="s">
        <v>42</v>
      </c>
      <c r="F27" s="10">
        <v>45248</v>
      </c>
      <c r="G27" s="6" t="s">
        <v>40</v>
      </c>
      <c r="H27" s="3">
        <v>970.22</v>
      </c>
      <c r="I27" s="3">
        <v>5</v>
      </c>
      <c r="J27" s="3">
        <f t="shared" si="0"/>
        <v>194.04400000000001</v>
      </c>
      <c r="K27" s="3">
        <v>2</v>
      </c>
      <c r="L27" s="3">
        <v>8</v>
      </c>
    </row>
    <row r="28" spans="1:12" x14ac:dyDescent="0.3">
      <c r="A28" s="5">
        <v>27</v>
      </c>
      <c r="B28" s="6" t="s">
        <v>146</v>
      </c>
      <c r="C28" s="4">
        <v>38</v>
      </c>
      <c r="D28" s="6" t="s">
        <v>304</v>
      </c>
      <c r="E28" s="6" t="s">
        <v>57</v>
      </c>
      <c r="F28" s="10" t="s">
        <v>147</v>
      </c>
      <c r="G28" s="6" t="s">
        <v>51</v>
      </c>
      <c r="H28" s="3">
        <v>843.7</v>
      </c>
      <c r="I28" s="3">
        <v>8</v>
      </c>
      <c r="J28" s="3">
        <f t="shared" si="0"/>
        <v>105.46250000000001</v>
      </c>
      <c r="K28" s="3">
        <v>3</v>
      </c>
      <c r="L28" s="3">
        <v>7.9588235294117649</v>
      </c>
    </row>
    <row r="29" spans="1:12" x14ac:dyDescent="0.3">
      <c r="A29" s="5">
        <v>28</v>
      </c>
      <c r="B29" s="6" t="s">
        <v>169</v>
      </c>
      <c r="C29" s="4">
        <v>50</v>
      </c>
      <c r="D29" s="6" t="s">
        <v>38</v>
      </c>
      <c r="E29" s="6" t="s">
        <v>48</v>
      </c>
      <c r="F29" s="10">
        <v>45287</v>
      </c>
      <c r="G29" s="6" t="s">
        <v>51</v>
      </c>
      <c r="H29" s="3">
        <v>839.95</v>
      </c>
      <c r="I29" s="3">
        <v>9</v>
      </c>
      <c r="J29" s="3">
        <f t="shared" si="0"/>
        <v>93.327777777777783</v>
      </c>
      <c r="K29" s="3">
        <v>0</v>
      </c>
      <c r="L29" s="3">
        <v>7</v>
      </c>
    </row>
    <row r="30" spans="1:12" x14ac:dyDescent="0.3">
      <c r="A30" s="5">
        <v>29</v>
      </c>
      <c r="B30" s="6" t="s">
        <v>129</v>
      </c>
      <c r="C30" s="4">
        <v>29</v>
      </c>
      <c r="D30" s="6" t="s">
        <v>304</v>
      </c>
      <c r="E30" s="6" t="s">
        <v>39</v>
      </c>
      <c r="F30" s="10" t="s">
        <v>130</v>
      </c>
      <c r="G30" s="6" t="s">
        <v>51</v>
      </c>
      <c r="H30" s="3">
        <v>474.01</v>
      </c>
      <c r="I30" s="3">
        <v>2</v>
      </c>
      <c r="J30" s="3">
        <f t="shared" si="0"/>
        <v>237.005</v>
      </c>
      <c r="K30" s="3">
        <v>0</v>
      </c>
      <c r="L30" s="3">
        <v>7</v>
      </c>
    </row>
    <row r="31" spans="1:12" x14ac:dyDescent="0.3">
      <c r="A31" s="5">
        <v>30</v>
      </c>
      <c r="B31" s="6" t="s">
        <v>111</v>
      </c>
      <c r="C31" s="4">
        <v>39</v>
      </c>
      <c r="D31" s="6" t="s">
        <v>304</v>
      </c>
      <c r="E31" s="6" t="s">
        <v>57</v>
      </c>
      <c r="F31" s="10">
        <v>45075</v>
      </c>
      <c r="G31" s="6" t="s">
        <v>51</v>
      </c>
      <c r="H31" s="3">
        <v>420.67</v>
      </c>
      <c r="I31" s="3">
        <v>3</v>
      </c>
      <c r="J31" s="3">
        <f t="shared" si="0"/>
        <v>140.22333333333333</v>
      </c>
      <c r="K31" s="3">
        <v>4</v>
      </c>
      <c r="L31" s="3">
        <v>12</v>
      </c>
    </row>
    <row r="32" spans="1:12" x14ac:dyDescent="0.3">
      <c r="A32" s="5">
        <v>31</v>
      </c>
      <c r="B32" s="6" t="s">
        <v>37</v>
      </c>
      <c r="C32" s="4">
        <v>61</v>
      </c>
      <c r="D32" s="6" t="s">
        <v>38</v>
      </c>
      <c r="E32" s="6" t="s">
        <v>39</v>
      </c>
      <c r="F32" s="10">
        <v>45046</v>
      </c>
      <c r="G32" s="6" t="s">
        <v>40</v>
      </c>
      <c r="H32" s="3">
        <v>280.67</v>
      </c>
      <c r="I32" s="3">
        <v>3</v>
      </c>
      <c r="J32" s="3">
        <f t="shared" si="0"/>
        <v>93.556666666666672</v>
      </c>
      <c r="K32" s="3">
        <v>5</v>
      </c>
      <c r="L32" s="3">
        <v>7</v>
      </c>
    </row>
    <row r="33" spans="1:12" x14ac:dyDescent="0.3">
      <c r="A33" s="5">
        <v>32</v>
      </c>
      <c r="B33" s="6" t="s">
        <v>126</v>
      </c>
      <c r="C33" s="4">
        <v>42</v>
      </c>
      <c r="D33" s="6" t="s">
        <v>38</v>
      </c>
      <c r="E33" s="6" t="s">
        <v>57</v>
      </c>
      <c r="F33" s="10">
        <v>45121</v>
      </c>
      <c r="G33" s="6" t="s">
        <v>46</v>
      </c>
      <c r="H33" s="3">
        <v>654.16747058823523</v>
      </c>
      <c r="I33" s="3">
        <v>1</v>
      </c>
      <c r="J33" s="3">
        <f t="shared" si="0"/>
        <v>654.16747058823523</v>
      </c>
      <c r="K33" s="3">
        <v>5</v>
      </c>
      <c r="L33" s="3">
        <v>8</v>
      </c>
    </row>
    <row r="34" spans="1:12" x14ac:dyDescent="0.3">
      <c r="A34" s="5">
        <v>33</v>
      </c>
      <c r="B34" s="6" t="s">
        <v>174</v>
      </c>
      <c r="C34" s="4">
        <v>66</v>
      </c>
      <c r="D34" s="6" t="s">
        <v>38</v>
      </c>
      <c r="E34" s="6" t="s">
        <v>39</v>
      </c>
      <c r="F34" s="10">
        <v>45159</v>
      </c>
      <c r="G34" s="6" t="s">
        <v>51</v>
      </c>
      <c r="H34" s="3">
        <v>866.08</v>
      </c>
      <c r="I34" s="3">
        <v>8</v>
      </c>
      <c r="J34" s="3">
        <f t="shared" si="0"/>
        <v>108.26</v>
      </c>
      <c r="K34" s="3">
        <v>2</v>
      </c>
      <c r="L34" s="3">
        <v>7.9588235294117649</v>
      </c>
    </row>
    <row r="35" spans="1:12" x14ac:dyDescent="0.3">
      <c r="A35" s="5">
        <v>34</v>
      </c>
      <c r="B35" s="6" t="s">
        <v>166</v>
      </c>
      <c r="C35" s="4">
        <v>44</v>
      </c>
      <c r="D35" s="6" t="s">
        <v>53</v>
      </c>
      <c r="E35" s="6" t="s">
        <v>42</v>
      </c>
      <c r="F35" s="10">
        <v>45010</v>
      </c>
      <c r="G35" s="6" t="s">
        <v>51</v>
      </c>
      <c r="H35" s="3">
        <v>814.77</v>
      </c>
      <c r="I35" s="3">
        <v>6</v>
      </c>
      <c r="J35" s="3">
        <f t="shared" si="0"/>
        <v>135.79499999999999</v>
      </c>
      <c r="K35" s="3">
        <v>0</v>
      </c>
      <c r="L35" s="3">
        <v>4</v>
      </c>
    </row>
    <row r="36" spans="1:12" x14ac:dyDescent="0.3">
      <c r="A36" s="5">
        <v>35</v>
      </c>
      <c r="B36" s="6" t="s">
        <v>217</v>
      </c>
      <c r="C36" s="4">
        <v>59</v>
      </c>
      <c r="D36" s="6" t="s">
        <v>53</v>
      </c>
      <c r="E36" s="6" t="s">
        <v>48</v>
      </c>
      <c r="F36" s="10">
        <v>44933</v>
      </c>
      <c r="G36" s="6" t="s">
        <v>43</v>
      </c>
      <c r="H36" s="3">
        <v>999.72</v>
      </c>
      <c r="I36" s="3">
        <v>8</v>
      </c>
      <c r="J36" s="3">
        <f t="shared" si="0"/>
        <v>124.965</v>
      </c>
      <c r="K36" s="3">
        <v>1</v>
      </c>
      <c r="L36" s="3">
        <v>7.9588235294117649</v>
      </c>
    </row>
    <row r="37" spans="1:12" x14ac:dyDescent="0.3">
      <c r="A37" s="5">
        <v>36</v>
      </c>
      <c r="B37" s="6" t="s">
        <v>128</v>
      </c>
      <c r="C37" s="4">
        <v>45</v>
      </c>
      <c r="D37" s="6" t="s">
        <v>53</v>
      </c>
      <c r="E37" s="6" t="s">
        <v>45</v>
      </c>
      <c r="F37" s="10">
        <v>45270</v>
      </c>
      <c r="G37" s="6" t="s">
        <v>51</v>
      </c>
      <c r="H37" s="3">
        <v>996.67</v>
      </c>
      <c r="I37" s="3">
        <v>9</v>
      </c>
      <c r="J37" s="3">
        <f t="shared" si="0"/>
        <v>110.74111111111111</v>
      </c>
      <c r="K37" s="3">
        <v>5</v>
      </c>
      <c r="L37" s="3">
        <v>6</v>
      </c>
    </row>
    <row r="38" spans="1:12" x14ac:dyDescent="0.3">
      <c r="A38" s="5">
        <v>37</v>
      </c>
      <c r="B38" s="6" t="s">
        <v>159</v>
      </c>
      <c r="C38" s="4">
        <v>33</v>
      </c>
      <c r="D38" s="6" t="s">
        <v>38</v>
      </c>
      <c r="E38" s="6" t="s">
        <v>39</v>
      </c>
      <c r="F38" s="10">
        <v>45286</v>
      </c>
      <c r="G38" s="6" t="s">
        <v>43</v>
      </c>
      <c r="H38" s="3">
        <v>559.88</v>
      </c>
      <c r="I38" s="3">
        <v>5</v>
      </c>
      <c r="J38" s="3">
        <f t="shared" si="0"/>
        <v>111.976</v>
      </c>
      <c r="K38" s="3">
        <v>3</v>
      </c>
      <c r="L38" s="3">
        <v>7.9588235294117649</v>
      </c>
    </row>
    <row r="39" spans="1:12" x14ac:dyDescent="0.3">
      <c r="A39" s="5">
        <v>38</v>
      </c>
      <c r="B39" s="6" t="s">
        <v>253</v>
      </c>
      <c r="C39" s="4">
        <v>32</v>
      </c>
      <c r="D39" s="6" t="s">
        <v>53</v>
      </c>
      <c r="E39" s="6" t="s">
        <v>57</v>
      </c>
      <c r="F39" s="10">
        <v>45149</v>
      </c>
      <c r="G39" s="6" t="s">
        <v>40</v>
      </c>
      <c r="H39" s="3">
        <v>771.3</v>
      </c>
      <c r="I39" s="3">
        <v>3</v>
      </c>
      <c r="J39" s="3">
        <f t="shared" si="0"/>
        <v>257.09999999999997</v>
      </c>
      <c r="K39" s="3">
        <v>5</v>
      </c>
      <c r="L39" s="3">
        <v>13</v>
      </c>
    </row>
    <row r="40" spans="1:12" x14ac:dyDescent="0.3">
      <c r="A40" s="5">
        <v>39</v>
      </c>
      <c r="B40" s="6" t="s">
        <v>107</v>
      </c>
      <c r="C40" s="4">
        <v>64</v>
      </c>
      <c r="D40" s="6" t="s">
        <v>38</v>
      </c>
      <c r="E40" s="6" t="s">
        <v>42</v>
      </c>
      <c r="F40" s="10">
        <v>44936</v>
      </c>
      <c r="G40" s="6" t="s">
        <v>46</v>
      </c>
      <c r="H40" s="3">
        <v>945.32</v>
      </c>
      <c r="I40" s="3">
        <v>5</v>
      </c>
      <c r="J40" s="3">
        <f t="shared" si="0"/>
        <v>189.06400000000002</v>
      </c>
      <c r="K40" s="3">
        <v>0</v>
      </c>
      <c r="L40" s="3">
        <v>7.9588235294117649</v>
      </c>
    </row>
    <row r="41" spans="1:12" x14ac:dyDescent="0.3">
      <c r="A41" s="5">
        <v>40</v>
      </c>
      <c r="B41" s="6" t="s">
        <v>199</v>
      </c>
      <c r="C41" s="4">
        <v>68</v>
      </c>
      <c r="D41" s="6" t="s">
        <v>38</v>
      </c>
      <c r="E41" s="6" t="s">
        <v>45</v>
      </c>
      <c r="F41" s="10">
        <v>45010</v>
      </c>
      <c r="G41" s="6" t="s">
        <v>51</v>
      </c>
      <c r="H41" s="3">
        <v>654.16747058823523</v>
      </c>
      <c r="I41" s="3">
        <v>5</v>
      </c>
      <c r="J41" s="3">
        <f t="shared" si="0"/>
        <v>130.83349411764704</v>
      </c>
      <c r="K41" s="3">
        <v>4</v>
      </c>
      <c r="L41" s="3">
        <v>1</v>
      </c>
    </row>
    <row r="42" spans="1:12" x14ac:dyDescent="0.3">
      <c r="A42" s="5">
        <v>41</v>
      </c>
      <c r="B42" s="6" t="s">
        <v>193</v>
      </c>
      <c r="C42" s="4">
        <v>61</v>
      </c>
      <c r="D42" s="6" t="s">
        <v>38</v>
      </c>
      <c r="E42" s="6" t="s">
        <v>48</v>
      </c>
      <c r="F42" s="10">
        <v>45121</v>
      </c>
      <c r="G42" s="6" t="s">
        <v>46</v>
      </c>
      <c r="H42" s="3">
        <v>654.16747058823523</v>
      </c>
      <c r="I42" s="3">
        <v>5</v>
      </c>
      <c r="J42" s="3">
        <f t="shared" si="0"/>
        <v>130.83349411764704</v>
      </c>
      <c r="K42" s="3">
        <v>0</v>
      </c>
      <c r="L42" s="3">
        <v>13</v>
      </c>
    </row>
    <row r="43" spans="1:12" x14ac:dyDescent="0.3">
      <c r="A43" s="5">
        <v>42</v>
      </c>
      <c r="B43" s="6" t="s">
        <v>142</v>
      </c>
      <c r="C43" s="4">
        <v>43.5</v>
      </c>
      <c r="D43" s="6" t="s">
        <v>38</v>
      </c>
      <c r="E43" s="6" t="s">
        <v>45</v>
      </c>
      <c r="F43" s="10" t="s">
        <v>71</v>
      </c>
      <c r="G43" s="6" t="s">
        <v>51</v>
      </c>
      <c r="H43" s="3">
        <v>654.16747058823523</v>
      </c>
      <c r="I43" s="3">
        <v>3</v>
      </c>
      <c r="J43" s="3">
        <f t="shared" si="0"/>
        <v>218.05582352941175</v>
      </c>
      <c r="K43" s="3">
        <v>4</v>
      </c>
      <c r="L43" s="3">
        <v>10</v>
      </c>
    </row>
    <row r="44" spans="1:12" x14ac:dyDescent="0.3">
      <c r="A44" s="5">
        <v>43</v>
      </c>
      <c r="B44" s="6" t="s">
        <v>131</v>
      </c>
      <c r="C44" s="4">
        <v>43.5</v>
      </c>
      <c r="D44" s="6" t="s">
        <v>304</v>
      </c>
      <c r="E44" s="6" t="s">
        <v>42</v>
      </c>
      <c r="F44" s="10">
        <v>45277</v>
      </c>
      <c r="G44" s="6" t="s">
        <v>40</v>
      </c>
      <c r="H44" s="3">
        <v>137.87</v>
      </c>
      <c r="I44" s="3">
        <v>4</v>
      </c>
      <c r="J44" s="3">
        <f t="shared" si="0"/>
        <v>34.467500000000001</v>
      </c>
      <c r="K44" s="3">
        <v>2</v>
      </c>
      <c r="L44" s="3">
        <v>12</v>
      </c>
    </row>
    <row r="45" spans="1:12" x14ac:dyDescent="0.3">
      <c r="A45" s="5">
        <v>44</v>
      </c>
      <c r="B45" s="6" t="s">
        <v>204</v>
      </c>
      <c r="C45" s="4">
        <v>74</v>
      </c>
      <c r="D45" s="6" t="s">
        <v>38</v>
      </c>
      <c r="E45" s="6" t="s">
        <v>42</v>
      </c>
      <c r="F45" s="10" t="s">
        <v>205</v>
      </c>
      <c r="G45" s="6" t="s">
        <v>51</v>
      </c>
      <c r="H45" s="3">
        <v>954.51</v>
      </c>
      <c r="I45" s="3">
        <v>9</v>
      </c>
      <c r="J45" s="3">
        <f t="shared" si="0"/>
        <v>106.05666666666667</v>
      </c>
      <c r="K45" s="3">
        <v>2</v>
      </c>
      <c r="L45" s="3">
        <v>14</v>
      </c>
    </row>
    <row r="46" spans="1:12" x14ac:dyDescent="0.3">
      <c r="A46" s="5">
        <v>45</v>
      </c>
      <c r="B46" s="6" t="s">
        <v>190</v>
      </c>
      <c r="C46" s="4">
        <v>20</v>
      </c>
      <c r="D46" s="6" t="s">
        <v>38</v>
      </c>
      <c r="E46" s="6" t="s">
        <v>42</v>
      </c>
      <c r="F46" s="10">
        <v>44943</v>
      </c>
      <c r="G46" s="6" t="s">
        <v>51</v>
      </c>
      <c r="H46" s="3">
        <v>610.11</v>
      </c>
      <c r="I46" s="3">
        <v>9</v>
      </c>
      <c r="J46" s="3">
        <f t="shared" si="0"/>
        <v>67.790000000000006</v>
      </c>
      <c r="K46" s="3">
        <v>1</v>
      </c>
      <c r="L46" s="3">
        <v>2</v>
      </c>
    </row>
    <row r="47" spans="1:12" x14ac:dyDescent="0.3">
      <c r="A47" s="5">
        <v>46</v>
      </c>
      <c r="B47" s="6" t="s">
        <v>52</v>
      </c>
      <c r="C47" s="4">
        <v>54</v>
      </c>
      <c r="D47" s="6" t="s">
        <v>53</v>
      </c>
      <c r="E47" s="6" t="s">
        <v>45</v>
      </c>
      <c r="F47" s="10">
        <v>45132</v>
      </c>
      <c r="G47" s="6" t="s">
        <v>51</v>
      </c>
      <c r="H47" s="3">
        <v>236.36</v>
      </c>
      <c r="I47" s="3">
        <v>2</v>
      </c>
      <c r="J47" s="3">
        <f t="shared" si="0"/>
        <v>118.18</v>
      </c>
      <c r="K47" s="3">
        <v>5</v>
      </c>
      <c r="L47" s="3">
        <v>7</v>
      </c>
    </row>
    <row r="48" spans="1:12" x14ac:dyDescent="0.3">
      <c r="A48" s="5">
        <v>47</v>
      </c>
      <c r="B48" s="6" t="s">
        <v>153</v>
      </c>
      <c r="C48" s="4">
        <v>68</v>
      </c>
      <c r="D48" s="6" t="s">
        <v>53</v>
      </c>
      <c r="E48" s="6" t="s">
        <v>57</v>
      </c>
      <c r="F48" s="10">
        <v>44987</v>
      </c>
      <c r="G48" s="6" t="s">
        <v>43</v>
      </c>
      <c r="H48" s="3">
        <v>674.98</v>
      </c>
      <c r="I48" s="3">
        <v>8</v>
      </c>
      <c r="J48" s="3">
        <f t="shared" si="0"/>
        <v>84.372500000000002</v>
      </c>
      <c r="K48" s="3">
        <v>4</v>
      </c>
      <c r="L48" s="3">
        <v>7.9588235294117649</v>
      </c>
    </row>
    <row r="49" spans="1:12" x14ac:dyDescent="0.3">
      <c r="A49" s="5">
        <v>48</v>
      </c>
      <c r="B49" s="6" t="s">
        <v>201</v>
      </c>
      <c r="C49" s="4">
        <v>24</v>
      </c>
      <c r="D49" s="6" t="s">
        <v>304</v>
      </c>
      <c r="E49" s="6" t="s">
        <v>57</v>
      </c>
      <c r="F49" s="10">
        <v>45217</v>
      </c>
      <c r="G49" s="6" t="s">
        <v>51</v>
      </c>
      <c r="H49" s="3">
        <v>621.95000000000005</v>
      </c>
      <c r="I49" s="3">
        <v>8</v>
      </c>
      <c r="J49" s="3">
        <f t="shared" si="0"/>
        <v>77.743750000000006</v>
      </c>
      <c r="K49" s="3">
        <v>0</v>
      </c>
      <c r="L49" s="3">
        <v>10</v>
      </c>
    </row>
    <row r="50" spans="1:12" x14ac:dyDescent="0.3">
      <c r="A50" s="5">
        <v>49</v>
      </c>
      <c r="B50" s="6" t="s">
        <v>248</v>
      </c>
      <c r="C50" s="4">
        <v>38</v>
      </c>
      <c r="D50" s="6" t="s">
        <v>38</v>
      </c>
      <c r="E50" s="6" t="s">
        <v>57</v>
      </c>
      <c r="F50" s="10">
        <v>45035</v>
      </c>
      <c r="G50" s="6" t="s">
        <v>46</v>
      </c>
      <c r="H50" s="3">
        <v>364.58</v>
      </c>
      <c r="I50" s="3">
        <v>7</v>
      </c>
      <c r="J50" s="3">
        <f t="shared" si="0"/>
        <v>52.082857142857144</v>
      </c>
      <c r="K50" s="3">
        <v>2</v>
      </c>
      <c r="L50" s="3">
        <v>2</v>
      </c>
    </row>
    <row r="51" spans="1:12" x14ac:dyDescent="0.3">
      <c r="A51" s="5">
        <v>50</v>
      </c>
      <c r="B51" s="6" t="s">
        <v>215</v>
      </c>
      <c r="C51" s="4">
        <v>26</v>
      </c>
      <c r="D51" s="6" t="s">
        <v>38</v>
      </c>
      <c r="E51" s="6" t="s">
        <v>45</v>
      </c>
      <c r="F51" s="10">
        <v>45129</v>
      </c>
      <c r="G51" s="6" t="s">
        <v>51</v>
      </c>
      <c r="H51" s="3">
        <v>122.42</v>
      </c>
      <c r="I51" s="3">
        <v>8</v>
      </c>
      <c r="J51" s="3">
        <f t="shared" si="0"/>
        <v>15.3025</v>
      </c>
      <c r="K51" s="3">
        <v>2</v>
      </c>
      <c r="L51" s="3">
        <v>14</v>
      </c>
    </row>
    <row r="52" spans="1:12" x14ac:dyDescent="0.3">
      <c r="A52" s="5">
        <v>51</v>
      </c>
      <c r="B52" s="6" t="s">
        <v>243</v>
      </c>
      <c r="C52" s="4">
        <v>56</v>
      </c>
      <c r="D52" s="6" t="s">
        <v>38</v>
      </c>
      <c r="E52" s="6" t="s">
        <v>39</v>
      </c>
      <c r="F52" s="10">
        <v>45000</v>
      </c>
      <c r="G52" s="6" t="s">
        <v>51</v>
      </c>
      <c r="H52" s="3">
        <v>674.86</v>
      </c>
      <c r="I52" s="3">
        <v>3</v>
      </c>
      <c r="J52" s="3">
        <f t="shared" si="0"/>
        <v>224.95333333333335</v>
      </c>
      <c r="K52" s="3">
        <v>3</v>
      </c>
      <c r="L52" s="3">
        <v>11</v>
      </c>
    </row>
    <row r="53" spans="1:12" x14ac:dyDescent="0.3">
      <c r="A53" s="5">
        <v>52</v>
      </c>
      <c r="B53" s="6" t="s">
        <v>136</v>
      </c>
      <c r="C53" s="4">
        <v>35</v>
      </c>
      <c r="D53" s="6" t="s">
        <v>38</v>
      </c>
      <c r="E53" s="6" t="s">
        <v>39</v>
      </c>
      <c r="F53" s="10" t="s">
        <v>137</v>
      </c>
      <c r="G53" s="6" t="s">
        <v>46</v>
      </c>
      <c r="H53" s="3">
        <v>525.1</v>
      </c>
      <c r="I53" s="3">
        <v>6</v>
      </c>
      <c r="J53" s="3">
        <f t="shared" si="0"/>
        <v>87.516666666666666</v>
      </c>
      <c r="K53" s="3">
        <v>4</v>
      </c>
      <c r="L53" s="3">
        <v>7</v>
      </c>
    </row>
    <row r="54" spans="1:12" x14ac:dyDescent="0.3">
      <c r="A54" s="5">
        <v>53</v>
      </c>
      <c r="B54" s="6" t="s">
        <v>258</v>
      </c>
      <c r="C54" s="4">
        <v>21</v>
      </c>
      <c r="D54" s="6" t="s">
        <v>38</v>
      </c>
      <c r="E54" s="6" t="s">
        <v>57</v>
      </c>
      <c r="F54" s="10">
        <v>45214</v>
      </c>
      <c r="G54" s="6" t="s">
        <v>40</v>
      </c>
      <c r="H54" s="3">
        <v>774.6</v>
      </c>
      <c r="I54" s="3">
        <v>1</v>
      </c>
      <c r="J54" s="3">
        <f t="shared" si="0"/>
        <v>774.6</v>
      </c>
      <c r="K54" s="3">
        <v>0</v>
      </c>
      <c r="L54" s="3">
        <v>7.9588235294117649</v>
      </c>
    </row>
    <row r="55" spans="1:12" x14ac:dyDescent="0.3">
      <c r="A55" s="5">
        <v>54</v>
      </c>
      <c r="B55" s="6" t="s">
        <v>209</v>
      </c>
      <c r="C55" s="4">
        <v>42</v>
      </c>
      <c r="D55" s="6" t="s">
        <v>38</v>
      </c>
      <c r="E55" s="6" t="s">
        <v>57</v>
      </c>
      <c r="F55" s="10">
        <v>45226</v>
      </c>
      <c r="G55" s="6" t="s">
        <v>51</v>
      </c>
      <c r="H55" s="3">
        <v>524.96</v>
      </c>
      <c r="I55" s="3">
        <v>7</v>
      </c>
      <c r="J55" s="3">
        <f t="shared" si="0"/>
        <v>74.994285714285724</v>
      </c>
      <c r="K55" s="3">
        <v>5</v>
      </c>
      <c r="L55" s="3">
        <v>13</v>
      </c>
    </row>
    <row r="56" spans="1:12" x14ac:dyDescent="0.3">
      <c r="A56" s="5">
        <v>55</v>
      </c>
      <c r="B56" s="6" t="s">
        <v>240</v>
      </c>
      <c r="C56" s="4">
        <v>31</v>
      </c>
      <c r="D56" s="6" t="s">
        <v>53</v>
      </c>
      <c r="E56" s="6" t="s">
        <v>42</v>
      </c>
      <c r="F56" s="10">
        <v>45225</v>
      </c>
      <c r="G56" s="6" t="s">
        <v>46</v>
      </c>
      <c r="H56" s="3">
        <v>5397.03</v>
      </c>
      <c r="I56" s="3">
        <v>1</v>
      </c>
      <c r="J56" s="3">
        <f t="shared" si="0"/>
        <v>5397.03</v>
      </c>
      <c r="K56" s="3">
        <v>5</v>
      </c>
      <c r="L56" s="3">
        <v>2</v>
      </c>
    </row>
    <row r="57" spans="1:12" x14ac:dyDescent="0.3">
      <c r="A57" s="5">
        <v>56</v>
      </c>
      <c r="B57" s="6" t="s">
        <v>72</v>
      </c>
      <c r="C57" s="4">
        <v>67</v>
      </c>
      <c r="D57" s="6" t="s">
        <v>38</v>
      </c>
      <c r="E57" s="6" t="s">
        <v>57</v>
      </c>
      <c r="F57" s="10">
        <v>45053</v>
      </c>
      <c r="G57" s="6" t="s">
        <v>51</v>
      </c>
      <c r="H57" s="3">
        <v>654.16747058823523</v>
      </c>
      <c r="I57" s="3">
        <v>9</v>
      </c>
      <c r="J57" s="3">
        <f t="shared" si="0"/>
        <v>72.685274509803918</v>
      </c>
      <c r="K57" s="3">
        <v>1</v>
      </c>
      <c r="L57" s="3">
        <v>3</v>
      </c>
    </row>
    <row r="58" spans="1:12" x14ac:dyDescent="0.3">
      <c r="A58" s="5">
        <v>57</v>
      </c>
      <c r="B58" s="6" t="s">
        <v>119</v>
      </c>
      <c r="C58" s="4">
        <v>26</v>
      </c>
      <c r="D58" s="6" t="s">
        <v>304</v>
      </c>
      <c r="E58" s="6" t="s">
        <v>42</v>
      </c>
      <c r="F58" s="10">
        <v>44997</v>
      </c>
      <c r="G58" s="6" t="s">
        <v>43</v>
      </c>
      <c r="H58" s="3">
        <v>565.33000000000004</v>
      </c>
      <c r="I58" s="3">
        <v>1</v>
      </c>
      <c r="J58" s="3">
        <f t="shared" si="0"/>
        <v>565.33000000000004</v>
      </c>
      <c r="K58" s="3">
        <v>2</v>
      </c>
      <c r="L58" s="3">
        <v>7.9588235294117649</v>
      </c>
    </row>
    <row r="59" spans="1:12" x14ac:dyDescent="0.3">
      <c r="A59" s="5">
        <v>58</v>
      </c>
      <c r="B59" s="6" t="s">
        <v>251</v>
      </c>
      <c r="C59" s="4">
        <v>43</v>
      </c>
      <c r="D59" s="6" t="s">
        <v>53</v>
      </c>
      <c r="E59" s="6" t="s">
        <v>39</v>
      </c>
      <c r="F59" s="10">
        <v>44973</v>
      </c>
      <c r="G59" s="6" t="s">
        <v>43</v>
      </c>
      <c r="H59" s="3">
        <v>877.89</v>
      </c>
      <c r="I59" s="3">
        <v>1</v>
      </c>
      <c r="J59" s="3">
        <f t="shared" si="0"/>
        <v>877.89</v>
      </c>
      <c r="K59" s="3">
        <v>5</v>
      </c>
      <c r="L59" s="3">
        <v>7</v>
      </c>
    </row>
    <row r="60" spans="1:12" x14ac:dyDescent="0.3">
      <c r="A60" s="5">
        <v>59</v>
      </c>
      <c r="B60" s="6" t="s">
        <v>246</v>
      </c>
      <c r="C60" s="4">
        <v>70</v>
      </c>
      <c r="D60" s="6" t="s">
        <v>38</v>
      </c>
      <c r="E60" s="6" t="s">
        <v>57</v>
      </c>
      <c r="F60" s="10" t="s">
        <v>247</v>
      </c>
      <c r="G60" s="6" t="s">
        <v>51</v>
      </c>
      <c r="H60" s="3">
        <v>409.45</v>
      </c>
      <c r="I60" s="3">
        <v>7</v>
      </c>
      <c r="J60" s="3">
        <f t="shared" si="0"/>
        <v>58.49285714285714</v>
      </c>
      <c r="K60" s="3">
        <v>4</v>
      </c>
      <c r="L60" s="3">
        <v>14</v>
      </c>
    </row>
    <row r="61" spans="1:12" x14ac:dyDescent="0.3">
      <c r="A61" s="5">
        <v>60</v>
      </c>
      <c r="B61" s="6" t="s">
        <v>227</v>
      </c>
      <c r="C61" s="4">
        <v>19</v>
      </c>
      <c r="D61" s="6" t="s">
        <v>53</v>
      </c>
      <c r="E61" s="6" t="s">
        <v>42</v>
      </c>
      <c r="F61" s="10" t="s">
        <v>228</v>
      </c>
      <c r="G61" s="6" t="s">
        <v>40</v>
      </c>
      <c r="H61" s="3">
        <v>142.68</v>
      </c>
      <c r="I61" s="3">
        <v>2</v>
      </c>
      <c r="J61" s="3">
        <f t="shared" si="0"/>
        <v>71.34</v>
      </c>
      <c r="K61" s="3">
        <v>3</v>
      </c>
      <c r="L61" s="3">
        <v>4</v>
      </c>
    </row>
    <row r="62" spans="1:12" x14ac:dyDescent="0.3">
      <c r="A62" s="5">
        <v>61</v>
      </c>
      <c r="B62" s="6" t="s">
        <v>49</v>
      </c>
      <c r="C62" s="4">
        <v>37</v>
      </c>
      <c r="D62" s="6" t="s">
        <v>38</v>
      </c>
      <c r="E62" s="6" t="s">
        <v>48</v>
      </c>
      <c r="F62" s="10">
        <v>45275</v>
      </c>
      <c r="G62" s="6" t="s">
        <v>40</v>
      </c>
      <c r="H62" s="3">
        <v>654.16747058823523</v>
      </c>
      <c r="I62" s="3">
        <v>5</v>
      </c>
      <c r="J62" s="3">
        <f t="shared" si="0"/>
        <v>130.83349411764704</v>
      </c>
      <c r="K62" s="3">
        <v>0</v>
      </c>
      <c r="L62" s="3">
        <v>7.9588235294117649</v>
      </c>
    </row>
    <row r="63" spans="1:12" x14ac:dyDescent="0.3">
      <c r="A63" s="5">
        <v>62</v>
      </c>
      <c r="B63" s="6" t="s">
        <v>162</v>
      </c>
      <c r="C63" s="4">
        <v>45</v>
      </c>
      <c r="D63" s="6" t="s">
        <v>38</v>
      </c>
      <c r="E63" s="6" t="s">
        <v>42</v>
      </c>
      <c r="F63" s="10">
        <v>45232</v>
      </c>
      <c r="G63" s="6" t="s">
        <v>51</v>
      </c>
      <c r="H63" s="3">
        <v>757.59</v>
      </c>
      <c r="I63" s="3">
        <v>8</v>
      </c>
      <c r="J63" s="3">
        <f t="shared" si="0"/>
        <v>94.698750000000004</v>
      </c>
      <c r="K63" s="3">
        <v>2</v>
      </c>
      <c r="L63" s="3">
        <v>14</v>
      </c>
    </row>
    <row r="64" spans="1:12" x14ac:dyDescent="0.3">
      <c r="A64" s="5">
        <v>63</v>
      </c>
      <c r="B64" s="6" t="s">
        <v>181</v>
      </c>
      <c r="C64" s="4">
        <v>64</v>
      </c>
      <c r="D64" s="6" t="s">
        <v>38</v>
      </c>
      <c r="E64" s="6" t="s">
        <v>39</v>
      </c>
      <c r="F64" s="10">
        <v>45124</v>
      </c>
      <c r="G64" s="6" t="s">
        <v>51</v>
      </c>
      <c r="H64" s="3">
        <v>624.11</v>
      </c>
      <c r="I64" s="3">
        <v>8</v>
      </c>
      <c r="J64" s="3">
        <f t="shared" si="0"/>
        <v>78.013750000000002</v>
      </c>
      <c r="K64" s="3">
        <v>0</v>
      </c>
      <c r="L64" s="3">
        <v>1</v>
      </c>
    </row>
    <row r="65" spans="1:12" x14ac:dyDescent="0.3">
      <c r="A65" s="5">
        <v>64</v>
      </c>
      <c r="B65" s="6" t="s">
        <v>239</v>
      </c>
      <c r="C65" s="4">
        <v>24</v>
      </c>
      <c r="D65" s="6" t="s">
        <v>38</v>
      </c>
      <c r="E65" s="6" t="s">
        <v>39</v>
      </c>
      <c r="F65" s="10">
        <v>45232</v>
      </c>
      <c r="G65" s="6" t="s">
        <v>43</v>
      </c>
      <c r="H65" s="3">
        <v>654.16747058823523</v>
      </c>
      <c r="I65" s="3">
        <v>3</v>
      </c>
      <c r="J65" s="3">
        <f t="shared" si="0"/>
        <v>218.05582352941175</v>
      </c>
      <c r="K65" s="3">
        <v>1</v>
      </c>
      <c r="L65" s="3">
        <v>13</v>
      </c>
    </row>
    <row r="66" spans="1:12" x14ac:dyDescent="0.3">
      <c r="A66" s="5">
        <v>65</v>
      </c>
      <c r="B66" s="6" t="s">
        <v>62</v>
      </c>
      <c r="C66" s="4">
        <v>61</v>
      </c>
      <c r="D66" s="6" t="s">
        <v>38</v>
      </c>
      <c r="E66" s="6" t="s">
        <v>42</v>
      </c>
      <c r="F66" s="10">
        <v>45197</v>
      </c>
      <c r="G66" s="6" t="s">
        <v>40</v>
      </c>
      <c r="H66" s="3">
        <v>220.83</v>
      </c>
      <c r="I66" s="3">
        <v>7</v>
      </c>
      <c r="J66" s="3">
        <f t="shared" si="0"/>
        <v>31.547142857142859</v>
      </c>
      <c r="K66" s="3">
        <v>2</v>
      </c>
      <c r="L66" s="3">
        <v>14</v>
      </c>
    </row>
    <row r="67" spans="1:12" x14ac:dyDescent="0.3">
      <c r="A67" s="5">
        <v>66</v>
      </c>
      <c r="B67" s="6" t="s">
        <v>116</v>
      </c>
      <c r="C67" s="4">
        <v>43.5</v>
      </c>
      <c r="D67" s="6" t="s">
        <v>53</v>
      </c>
      <c r="E67" s="6" t="s">
        <v>42</v>
      </c>
      <c r="F67" s="10">
        <v>45210</v>
      </c>
      <c r="G67" s="6" t="s">
        <v>51</v>
      </c>
      <c r="H67" s="3">
        <v>145.01</v>
      </c>
      <c r="I67" s="3">
        <v>3</v>
      </c>
      <c r="J67" s="3">
        <f t="shared" ref="J67:J130" si="1">H67/I67</f>
        <v>48.336666666666666</v>
      </c>
      <c r="K67" s="3">
        <v>3</v>
      </c>
      <c r="L67" s="3">
        <v>7.9588235294117649</v>
      </c>
    </row>
    <row r="68" spans="1:12" x14ac:dyDescent="0.3">
      <c r="A68" s="5">
        <v>67</v>
      </c>
      <c r="B68" s="6" t="s">
        <v>115</v>
      </c>
      <c r="C68" s="4">
        <v>64</v>
      </c>
      <c r="D68" s="6" t="s">
        <v>304</v>
      </c>
      <c r="E68" s="6" t="s">
        <v>45</v>
      </c>
      <c r="F68" s="10">
        <v>45275</v>
      </c>
      <c r="G68" s="6" t="s">
        <v>40</v>
      </c>
      <c r="H68" s="3">
        <v>24.4</v>
      </c>
      <c r="I68" s="3">
        <v>6</v>
      </c>
      <c r="J68" s="3">
        <f t="shared" si="1"/>
        <v>4.0666666666666664</v>
      </c>
      <c r="K68" s="3">
        <v>1</v>
      </c>
      <c r="L68" s="3">
        <v>12</v>
      </c>
    </row>
    <row r="69" spans="1:12" x14ac:dyDescent="0.3">
      <c r="A69" s="5">
        <v>68</v>
      </c>
      <c r="B69" s="6" t="s">
        <v>87</v>
      </c>
      <c r="C69" s="4">
        <v>52</v>
      </c>
      <c r="D69" s="6" t="s">
        <v>304</v>
      </c>
      <c r="E69" s="6" t="s">
        <v>39</v>
      </c>
      <c r="F69" s="10">
        <v>45276</v>
      </c>
      <c r="G69" s="6" t="s">
        <v>46</v>
      </c>
      <c r="H69" s="3">
        <v>357.08</v>
      </c>
      <c r="I69" s="3">
        <v>6</v>
      </c>
      <c r="J69" s="3">
        <f t="shared" si="1"/>
        <v>59.513333333333328</v>
      </c>
      <c r="K69" s="3">
        <v>2</v>
      </c>
      <c r="L69" s="3">
        <v>9</v>
      </c>
    </row>
    <row r="70" spans="1:12" x14ac:dyDescent="0.3">
      <c r="A70" s="5">
        <v>69</v>
      </c>
      <c r="B70" s="6" t="s">
        <v>103</v>
      </c>
      <c r="C70" s="4">
        <v>31</v>
      </c>
      <c r="D70" s="6" t="s">
        <v>304</v>
      </c>
      <c r="E70" s="6" t="s">
        <v>42</v>
      </c>
      <c r="F70" s="10">
        <v>45255</v>
      </c>
      <c r="G70" s="6" t="s">
        <v>40</v>
      </c>
      <c r="H70" s="3">
        <v>594.02</v>
      </c>
      <c r="I70" s="3">
        <v>3</v>
      </c>
      <c r="J70" s="3">
        <f t="shared" si="1"/>
        <v>198.00666666666666</v>
      </c>
      <c r="K70" s="3">
        <v>3</v>
      </c>
      <c r="L70" s="3">
        <v>8</v>
      </c>
    </row>
    <row r="71" spans="1:12" x14ac:dyDescent="0.3">
      <c r="A71" s="5">
        <v>70</v>
      </c>
      <c r="B71" s="6" t="s">
        <v>85</v>
      </c>
      <c r="C71" s="4">
        <v>34</v>
      </c>
      <c r="D71" s="6" t="s">
        <v>38</v>
      </c>
      <c r="E71" s="6" t="s">
        <v>57</v>
      </c>
      <c r="F71" s="10">
        <v>44984</v>
      </c>
      <c r="G71" s="6" t="s">
        <v>43</v>
      </c>
      <c r="H71" s="3">
        <v>398.32</v>
      </c>
      <c r="I71" s="3">
        <v>7</v>
      </c>
      <c r="J71" s="3">
        <f t="shared" si="1"/>
        <v>56.902857142857144</v>
      </c>
      <c r="K71" s="3">
        <v>1</v>
      </c>
      <c r="L71" s="3">
        <v>12</v>
      </c>
    </row>
    <row r="72" spans="1:12" x14ac:dyDescent="0.3">
      <c r="A72" s="5">
        <v>71</v>
      </c>
      <c r="B72" s="6" t="s">
        <v>188</v>
      </c>
      <c r="C72" s="4">
        <v>43.5</v>
      </c>
      <c r="D72" s="6" t="s">
        <v>304</v>
      </c>
      <c r="E72" s="6" t="s">
        <v>42</v>
      </c>
      <c r="F72" s="10">
        <v>45238</v>
      </c>
      <c r="G72" s="6" t="s">
        <v>46</v>
      </c>
      <c r="H72" s="3">
        <v>443.1</v>
      </c>
      <c r="I72" s="3">
        <v>3</v>
      </c>
      <c r="J72" s="3">
        <f t="shared" si="1"/>
        <v>147.70000000000002</v>
      </c>
      <c r="K72" s="3">
        <v>1</v>
      </c>
      <c r="L72" s="3">
        <v>9</v>
      </c>
    </row>
    <row r="73" spans="1:12" x14ac:dyDescent="0.3">
      <c r="A73" s="5">
        <v>72</v>
      </c>
      <c r="B73" s="6" t="s">
        <v>270</v>
      </c>
      <c r="C73" s="4">
        <v>43.5</v>
      </c>
      <c r="D73" s="6" t="s">
        <v>38</v>
      </c>
      <c r="E73" s="6" t="s">
        <v>57</v>
      </c>
      <c r="F73" s="10">
        <v>45159</v>
      </c>
      <c r="G73" s="6" t="s">
        <v>51</v>
      </c>
      <c r="H73" s="3">
        <v>905.12</v>
      </c>
      <c r="I73" s="3">
        <v>8</v>
      </c>
      <c r="J73" s="3">
        <f t="shared" si="1"/>
        <v>113.14</v>
      </c>
      <c r="K73" s="3">
        <v>2</v>
      </c>
      <c r="L73" s="3">
        <v>10</v>
      </c>
    </row>
    <row r="74" spans="1:12" x14ac:dyDescent="0.3">
      <c r="A74" s="5">
        <v>73</v>
      </c>
      <c r="B74" s="6" t="s">
        <v>233</v>
      </c>
      <c r="C74" s="4">
        <v>57</v>
      </c>
      <c r="D74" s="6" t="s">
        <v>53</v>
      </c>
      <c r="E74" s="6" t="s">
        <v>45</v>
      </c>
      <c r="F74" s="10" t="s">
        <v>234</v>
      </c>
      <c r="G74" s="6" t="s">
        <v>51</v>
      </c>
      <c r="H74" s="3">
        <v>354.77</v>
      </c>
      <c r="I74" s="3">
        <v>4</v>
      </c>
      <c r="J74" s="3">
        <f t="shared" si="1"/>
        <v>88.692499999999995</v>
      </c>
      <c r="K74" s="3">
        <v>5</v>
      </c>
      <c r="L74" s="3">
        <v>14</v>
      </c>
    </row>
    <row r="75" spans="1:12" x14ac:dyDescent="0.3">
      <c r="A75" s="5">
        <v>74</v>
      </c>
      <c r="B75" s="6" t="s">
        <v>65</v>
      </c>
      <c r="C75" s="4">
        <v>21</v>
      </c>
      <c r="D75" s="6" t="s">
        <v>38</v>
      </c>
      <c r="E75" s="6" t="s">
        <v>48</v>
      </c>
      <c r="F75" s="10">
        <v>45186</v>
      </c>
      <c r="G75" s="6" t="s">
        <v>43</v>
      </c>
      <c r="H75" s="3">
        <v>518.85</v>
      </c>
      <c r="I75" s="3">
        <v>1</v>
      </c>
      <c r="J75" s="3">
        <f t="shared" si="1"/>
        <v>518.85</v>
      </c>
      <c r="K75" s="3">
        <v>0</v>
      </c>
      <c r="L75" s="3">
        <v>9</v>
      </c>
    </row>
    <row r="76" spans="1:12" x14ac:dyDescent="0.3">
      <c r="A76" s="5">
        <v>75</v>
      </c>
      <c r="B76" s="6" t="s">
        <v>266</v>
      </c>
      <c r="C76" s="4">
        <v>19</v>
      </c>
      <c r="D76" s="6" t="s">
        <v>38</v>
      </c>
      <c r="E76" s="6" t="s">
        <v>42</v>
      </c>
      <c r="F76" s="10">
        <v>45247</v>
      </c>
      <c r="G76" s="6" t="s">
        <v>40</v>
      </c>
      <c r="H76" s="3">
        <v>785.82</v>
      </c>
      <c r="I76" s="3">
        <v>4</v>
      </c>
      <c r="J76" s="3">
        <f t="shared" si="1"/>
        <v>196.45500000000001</v>
      </c>
      <c r="K76" s="3">
        <v>0</v>
      </c>
      <c r="L76" s="3">
        <v>7</v>
      </c>
    </row>
    <row r="77" spans="1:12" x14ac:dyDescent="0.3">
      <c r="A77" s="5">
        <v>76</v>
      </c>
      <c r="B77" s="6" t="s">
        <v>70</v>
      </c>
      <c r="C77" s="4">
        <v>23</v>
      </c>
      <c r="D77" s="6" t="s">
        <v>38</v>
      </c>
      <c r="E77" s="6" t="s">
        <v>48</v>
      </c>
      <c r="F77" s="10" t="s">
        <v>71</v>
      </c>
      <c r="G77" s="6" t="s">
        <v>51</v>
      </c>
      <c r="H77" s="3">
        <v>402.58</v>
      </c>
      <c r="I77" s="3">
        <v>7</v>
      </c>
      <c r="J77" s="3">
        <f t="shared" si="1"/>
        <v>57.511428571428567</v>
      </c>
      <c r="K77" s="3">
        <v>3</v>
      </c>
      <c r="L77" s="3">
        <v>4</v>
      </c>
    </row>
    <row r="78" spans="1:12" x14ac:dyDescent="0.3">
      <c r="A78" s="5">
        <v>77</v>
      </c>
      <c r="B78" s="6" t="s">
        <v>141</v>
      </c>
      <c r="C78" s="4">
        <v>71</v>
      </c>
      <c r="D78" s="6" t="s">
        <v>38</v>
      </c>
      <c r="E78" s="6" t="s">
        <v>45</v>
      </c>
      <c r="F78" s="10">
        <v>45005</v>
      </c>
      <c r="G78" s="6" t="s">
        <v>40</v>
      </c>
      <c r="H78" s="3">
        <v>625.87</v>
      </c>
      <c r="I78" s="3">
        <v>4</v>
      </c>
      <c r="J78" s="3">
        <f t="shared" si="1"/>
        <v>156.4675</v>
      </c>
      <c r="K78" s="3">
        <v>4</v>
      </c>
      <c r="L78" s="3">
        <v>7.9588235294117649</v>
      </c>
    </row>
    <row r="79" spans="1:12" x14ac:dyDescent="0.3">
      <c r="A79" s="5">
        <v>78</v>
      </c>
      <c r="B79" s="6" t="s">
        <v>152</v>
      </c>
      <c r="C79" s="4">
        <v>59</v>
      </c>
      <c r="D79" s="6" t="s">
        <v>53</v>
      </c>
      <c r="E79" s="6" t="s">
        <v>45</v>
      </c>
      <c r="F79" s="10">
        <v>45009</v>
      </c>
      <c r="G79" s="6" t="s">
        <v>43</v>
      </c>
      <c r="H79" s="3">
        <v>863.74</v>
      </c>
      <c r="I79" s="3">
        <v>6</v>
      </c>
      <c r="J79" s="3">
        <f t="shared" si="1"/>
        <v>143.95666666666668</v>
      </c>
      <c r="K79" s="3">
        <v>2</v>
      </c>
      <c r="L79" s="3">
        <v>1</v>
      </c>
    </row>
    <row r="80" spans="1:12" x14ac:dyDescent="0.3">
      <c r="A80" s="5">
        <v>79</v>
      </c>
      <c r="B80" s="6" t="s">
        <v>144</v>
      </c>
      <c r="C80" s="4">
        <v>21</v>
      </c>
      <c r="D80" s="6" t="s">
        <v>53</v>
      </c>
      <c r="E80" s="6" t="s">
        <v>45</v>
      </c>
      <c r="F80" s="10">
        <v>45233</v>
      </c>
      <c r="G80" s="6" t="s">
        <v>51</v>
      </c>
      <c r="H80" s="3">
        <v>950.03</v>
      </c>
      <c r="I80" s="3">
        <v>9</v>
      </c>
      <c r="J80" s="3">
        <f t="shared" si="1"/>
        <v>105.55888888888889</v>
      </c>
      <c r="K80" s="3">
        <v>2</v>
      </c>
      <c r="L80" s="3">
        <v>14</v>
      </c>
    </row>
    <row r="81" spans="1:12" x14ac:dyDescent="0.3">
      <c r="A81" s="5">
        <v>80</v>
      </c>
      <c r="B81" s="6" t="s">
        <v>122</v>
      </c>
      <c r="C81" s="4">
        <v>71</v>
      </c>
      <c r="D81" s="6" t="s">
        <v>38</v>
      </c>
      <c r="E81" s="6" t="s">
        <v>48</v>
      </c>
      <c r="F81" s="10">
        <v>45177</v>
      </c>
      <c r="G81" s="6" t="s">
        <v>40</v>
      </c>
      <c r="H81" s="3">
        <v>155.6</v>
      </c>
      <c r="I81" s="3">
        <v>1</v>
      </c>
      <c r="J81" s="3">
        <f t="shared" si="1"/>
        <v>155.6</v>
      </c>
      <c r="K81" s="3">
        <v>5</v>
      </c>
      <c r="L81" s="3">
        <v>1</v>
      </c>
    </row>
    <row r="82" spans="1:12" x14ac:dyDescent="0.3">
      <c r="A82" s="5">
        <v>81</v>
      </c>
      <c r="B82" s="6" t="s">
        <v>216</v>
      </c>
      <c r="C82" s="4">
        <v>46</v>
      </c>
      <c r="D82" s="6" t="s">
        <v>53</v>
      </c>
      <c r="E82" s="6" t="s">
        <v>57</v>
      </c>
      <c r="F82" s="10">
        <v>44984</v>
      </c>
      <c r="G82" s="6" t="s">
        <v>51</v>
      </c>
      <c r="H82" s="3">
        <v>927.32</v>
      </c>
      <c r="I82" s="3">
        <v>5</v>
      </c>
      <c r="J82" s="3">
        <f t="shared" si="1"/>
        <v>185.464</v>
      </c>
      <c r="K82" s="3">
        <v>5</v>
      </c>
      <c r="L82" s="3">
        <v>3</v>
      </c>
    </row>
    <row r="83" spans="1:12" x14ac:dyDescent="0.3">
      <c r="A83" s="5">
        <v>82</v>
      </c>
      <c r="B83" s="6" t="s">
        <v>198</v>
      </c>
      <c r="C83" s="4">
        <v>35</v>
      </c>
      <c r="D83" s="6" t="s">
        <v>38</v>
      </c>
      <c r="E83" s="6" t="s">
        <v>45</v>
      </c>
      <c r="F83" s="10">
        <v>45113</v>
      </c>
      <c r="G83" s="6" t="s">
        <v>51</v>
      </c>
      <c r="H83" s="3">
        <v>497.2</v>
      </c>
      <c r="I83" s="3">
        <v>7</v>
      </c>
      <c r="J83" s="3">
        <f t="shared" si="1"/>
        <v>71.028571428571425</v>
      </c>
      <c r="K83" s="3">
        <v>0</v>
      </c>
      <c r="L83" s="3">
        <v>13</v>
      </c>
    </row>
    <row r="84" spans="1:12" x14ac:dyDescent="0.3">
      <c r="A84" s="5">
        <v>83</v>
      </c>
      <c r="B84" s="6" t="s">
        <v>93</v>
      </c>
      <c r="C84" s="4">
        <v>43.5</v>
      </c>
      <c r="D84" s="6" t="s">
        <v>53</v>
      </c>
      <c r="E84" s="6" t="s">
        <v>42</v>
      </c>
      <c r="F84" s="10" t="s">
        <v>94</v>
      </c>
      <c r="G84" s="6" t="s">
        <v>51</v>
      </c>
      <c r="H84" s="3">
        <v>265.66000000000003</v>
      </c>
      <c r="I84" s="3">
        <v>1</v>
      </c>
      <c r="J84" s="3">
        <f t="shared" si="1"/>
        <v>265.66000000000003</v>
      </c>
      <c r="K84" s="3">
        <v>5</v>
      </c>
      <c r="L84" s="3">
        <v>14</v>
      </c>
    </row>
    <row r="85" spans="1:12" x14ac:dyDescent="0.3">
      <c r="A85" s="5">
        <v>84</v>
      </c>
      <c r="B85" s="6" t="s">
        <v>220</v>
      </c>
      <c r="C85" s="4">
        <v>61</v>
      </c>
      <c r="D85" s="6" t="s">
        <v>38</v>
      </c>
      <c r="E85" s="6" t="s">
        <v>48</v>
      </c>
      <c r="F85" s="10">
        <v>45217</v>
      </c>
      <c r="G85" s="6" t="s">
        <v>51</v>
      </c>
      <c r="H85" s="3">
        <v>464.54</v>
      </c>
      <c r="I85" s="3">
        <v>4</v>
      </c>
      <c r="J85" s="3">
        <f t="shared" si="1"/>
        <v>116.13500000000001</v>
      </c>
      <c r="K85" s="3">
        <v>3</v>
      </c>
      <c r="L85" s="3">
        <v>7.9588235294117649</v>
      </c>
    </row>
    <row r="86" spans="1:12" x14ac:dyDescent="0.3">
      <c r="A86" s="5">
        <v>85</v>
      </c>
      <c r="B86" s="6" t="s">
        <v>44</v>
      </c>
      <c r="C86" s="4">
        <v>51</v>
      </c>
      <c r="D86" s="6" t="s">
        <v>38</v>
      </c>
      <c r="E86" s="6" t="s">
        <v>45</v>
      </c>
      <c r="F86" s="10">
        <v>44970</v>
      </c>
      <c r="G86" s="6" t="s">
        <v>46</v>
      </c>
      <c r="H86" s="3">
        <v>980.23</v>
      </c>
      <c r="I86" s="3">
        <v>6</v>
      </c>
      <c r="J86" s="3">
        <f t="shared" si="1"/>
        <v>163.37166666666667</v>
      </c>
      <c r="K86" s="3">
        <v>2</v>
      </c>
      <c r="L86" s="3">
        <v>7.9588235294117649</v>
      </c>
    </row>
    <row r="87" spans="1:12" x14ac:dyDescent="0.3">
      <c r="A87" s="5">
        <v>86</v>
      </c>
      <c r="B87" s="6" t="s">
        <v>158</v>
      </c>
      <c r="C87" s="4">
        <v>43.5</v>
      </c>
      <c r="D87" s="6" t="s">
        <v>53</v>
      </c>
      <c r="E87" s="6" t="s">
        <v>42</v>
      </c>
      <c r="F87" s="10">
        <v>45048</v>
      </c>
      <c r="G87" s="6" t="s">
        <v>46</v>
      </c>
      <c r="H87" s="3">
        <v>497.69</v>
      </c>
      <c r="I87" s="3">
        <v>2</v>
      </c>
      <c r="J87" s="3">
        <f t="shared" si="1"/>
        <v>248.845</v>
      </c>
      <c r="K87" s="3">
        <v>5</v>
      </c>
      <c r="L87" s="3">
        <v>2</v>
      </c>
    </row>
    <row r="88" spans="1:12" x14ac:dyDescent="0.3">
      <c r="A88" s="5">
        <v>87</v>
      </c>
      <c r="B88" s="6" t="s">
        <v>105</v>
      </c>
      <c r="C88" s="4">
        <v>53</v>
      </c>
      <c r="D88" s="6" t="s">
        <v>53</v>
      </c>
      <c r="E88" s="6" t="s">
        <v>57</v>
      </c>
      <c r="F88" s="10">
        <v>44992</v>
      </c>
      <c r="G88" s="6" t="s">
        <v>46</v>
      </c>
      <c r="H88" s="3">
        <v>335.46</v>
      </c>
      <c r="I88" s="3">
        <v>5</v>
      </c>
      <c r="J88" s="3">
        <f t="shared" si="1"/>
        <v>67.091999999999999</v>
      </c>
      <c r="K88" s="3">
        <v>2</v>
      </c>
      <c r="L88" s="3">
        <v>4</v>
      </c>
    </row>
    <row r="89" spans="1:12" x14ac:dyDescent="0.3">
      <c r="A89" s="5">
        <v>88</v>
      </c>
      <c r="B89" s="6" t="s">
        <v>265</v>
      </c>
      <c r="C89" s="4">
        <v>31</v>
      </c>
      <c r="D89" s="6" t="s">
        <v>304</v>
      </c>
      <c r="E89" s="6" t="s">
        <v>57</v>
      </c>
      <c r="F89" s="10">
        <v>45179</v>
      </c>
      <c r="G89" s="6" t="s">
        <v>46</v>
      </c>
      <c r="H89" s="3">
        <v>637.07000000000005</v>
      </c>
      <c r="I89" s="3">
        <v>1</v>
      </c>
      <c r="J89" s="3">
        <f t="shared" si="1"/>
        <v>637.07000000000005</v>
      </c>
      <c r="K89" s="3">
        <v>0</v>
      </c>
      <c r="L89" s="3">
        <v>2</v>
      </c>
    </row>
    <row r="90" spans="1:12" x14ac:dyDescent="0.3">
      <c r="A90" s="5">
        <v>89</v>
      </c>
      <c r="B90" s="6" t="s">
        <v>249</v>
      </c>
      <c r="C90" s="4">
        <v>48</v>
      </c>
      <c r="D90" s="6" t="s">
        <v>304</v>
      </c>
      <c r="E90" s="6" t="s">
        <v>57</v>
      </c>
      <c r="F90" s="10">
        <v>45062</v>
      </c>
      <c r="G90" s="6" t="s">
        <v>51</v>
      </c>
      <c r="H90" s="3">
        <v>247.74</v>
      </c>
      <c r="I90" s="3">
        <v>6</v>
      </c>
      <c r="J90" s="3">
        <f t="shared" si="1"/>
        <v>41.29</v>
      </c>
      <c r="K90" s="3">
        <v>1</v>
      </c>
      <c r="L90" s="3">
        <v>14</v>
      </c>
    </row>
    <row r="91" spans="1:12" x14ac:dyDescent="0.3">
      <c r="A91" s="5">
        <v>90</v>
      </c>
      <c r="B91" s="6" t="s">
        <v>223</v>
      </c>
      <c r="C91" s="4">
        <v>43.5</v>
      </c>
      <c r="D91" s="6" t="s">
        <v>53</v>
      </c>
      <c r="E91" s="6" t="s">
        <v>45</v>
      </c>
      <c r="F91" s="10" t="s">
        <v>224</v>
      </c>
      <c r="G91" s="6" t="s">
        <v>43</v>
      </c>
      <c r="H91" s="3">
        <v>85.1</v>
      </c>
      <c r="I91" s="3">
        <v>6</v>
      </c>
      <c r="J91" s="3">
        <f t="shared" si="1"/>
        <v>14.183333333333332</v>
      </c>
      <c r="K91" s="3">
        <v>2</v>
      </c>
      <c r="L91" s="3">
        <v>5</v>
      </c>
    </row>
    <row r="92" spans="1:12" x14ac:dyDescent="0.3">
      <c r="A92" s="5">
        <v>91</v>
      </c>
      <c r="B92" s="6" t="s">
        <v>157</v>
      </c>
      <c r="C92" s="4">
        <v>32</v>
      </c>
      <c r="D92" s="6" t="s">
        <v>38</v>
      </c>
      <c r="E92" s="6" t="s">
        <v>48</v>
      </c>
      <c r="F92" s="10">
        <v>45292</v>
      </c>
      <c r="G92" s="6" t="s">
        <v>51</v>
      </c>
      <c r="H92" s="3">
        <v>7637</v>
      </c>
      <c r="I92" s="3">
        <v>4</v>
      </c>
      <c r="J92" s="3">
        <f t="shared" si="1"/>
        <v>1909.25</v>
      </c>
      <c r="K92" s="3">
        <v>1</v>
      </c>
      <c r="L92" s="3">
        <v>7.9588235294117649</v>
      </c>
    </row>
    <row r="93" spans="1:12" x14ac:dyDescent="0.3">
      <c r="A93" s="5">
        <v>92</v>
      </c>
      <c r="B93" s="6" t="s">
        <v>219</v>
      </c>
      <c r="C93" s="4">
        <v>25</v>
      </c>
      <c r="D93" s="6" t="s">
        <v>38</v>
      </c>
      <c r="E93" s="6" t="s">
        <v>39</v>
      </c>
      <c r="F93" s="10">
        <v>45131</v>
      </c>
      <c r="G93" s="6" t="s">
        <v>43</v>
      </c>
      <c r="H93" s="3">
        <v>136.77000000000001</v>
      </c>
      <c r="I93" s="3">
        <v>8</v>
      </c>
      <c r="J93" s="3">
        <f t="shared" si="1"/>
        <v>17.096250000000001</v>
      </c>
      <c r="K93" s="3">
        <v>5</v>
      </c>
      <c r="L93" s="3">
        <v>1</v>
      </c>
    </row>
    <row r="94" spans="1:12" x14ac:dyDescent="0.3">
      <c r="A94" s="5">
        <v>93</v>
      </c>
      <c r="B94" s="6" t="s">
        <v>273</v>
      </c>
      <c r="C94" s="4">
        <v>31</v>
      </c>
      <c r="D94" s="6" t="s">
        <v>53</v>
      </c>
      <c r="E94" s="6" t="s">
        <v>45</v>
      </c>
      <c r="F94" s="10">
        <v>45151</v>
      </c>
      <c r="G94" s="6" t="s">
        <v>43</v>
      </c>
      <c r="H94" s="3">
        <v>160.38</v>
      </c>
      <c r="I94" s="3">
        <v>4</v>
      </c>
      <c r="J94" s="3">
        <f t="shared" si="1"/>
        <v>40.094999999999999</v>
      </c>
      <c r="K94" s="3">
        <v>1</v>
      </c>
      <c r="L94" s="3">
        <v>5</v>
      </c>
    </row>
    <row r="95" spans="1:12" x14ac:dyDescent="0.3">
      <c r="A95" s="5">
        <v>94</v>
      </c>
      <c r="B95" s="6" t="s">
        <v>69</v>
      </c>
      <c r="C95" s="4">
        <v>40</v>
      </c>
      <c r="D95" s="6" t="s">
        <v>38</v>
      </c>
      <c r="E95" s="6" t="s">
        <v>39</v>
      </c>
      <c r="F95" s="10">
        <v>44988</v>
      </c>
      <c r="G95" s="6" t="s">
        <v>46</v>
      </c>
      <c r="H95" s="3">
        <v>147.44</v>
      </c>
      <c r="I95" s="3">
        <v>8</v>
      </c>
      <c r="J95" s="3">
        <f t="shared" si="1"/>
        <v>18.43</v>
      </c>
      <c r="K95" s="3">
        <v>2</v>
      </c>
      <c r="L95" s="3">
        <v>14</v>
      </c>
    </row>
    <row r="96" spans="1:12" x14ac:dyDescent="0.3">
      <c r="A96" s="5">
        <v>95</v>
      </c>
      <c r="B96" s="6" t="s">
        <v>202</v>
      </c>
      <c r="C96" s="4">
        <v>74</v>
      </c>
      <c r="D96" s="6" t="s">
        <v>38</v>
      </c>
      <c r="E96" s="6" t="s">
        <v>42</v>
      </c>
      <c r="F96" s="10">
        <v>45042</v>
      </c>
      <c r="G96" s="6" t="s">
        <v>40</v>
      </c>
      <c r="H96" s="3">
        <v>644.47</v>
      </c>
      <c r="I96" s="3">
        <v>8</v>
      </c>
      <c r="J96" s="3">
        <f t="shared" si="1"/>
        <v>80.558750000000003</v>
      </c>
      <c r="K96" s="3">
        <v>4</v>
      </c>
      <c r="L96" s="3">
        <v>9</v>
      </c>
    </row>
    <row r="97" spans="1:12" x14ac:dyDescent="0.3">
      <c r="A97" s="5">
        <v>96</v>
      </c>
      <c r="B97" s="6" t="s">
        <v>92</v>
      </c>
      <c r="C97" s="4">
        <v>57</v>
      </c>
      <c r="D97" s="6" t="s">
        <v>53</v>
      </c>
      <c r="E97" s="6" t="s">
        <v>57</v>
      </c>
      <c r="F97" s="10">
        <v>45100</v>
      </c>
      <c r="G97" s="6" t="s">
        <v>51</v>
      </c>
      <c r="H97" s="3">
        <v>190.06</v>
      </c>
      <c r="I97" s="3">
        <v>5</v>
      </c>
      <c r="J97" s="3">
        <f t="shared" si="1"/>
        <v>38.012</v>
      </c>
      <c r="K97" s="3">
        <v>5</v>
      </c>
      <c r="L97" s="3">
        <v>1</v>
      </c>
    </row>
    <row r="98" spans="1:12" x14ac:dyDescent="0.3">
      <c r="A98" s="5">
        <v>97</v>
      </c>
      <c r="B98" s="6" t="s">
        <v>100</v>
      </c>
      <c r="C98" s="4">
        <v>38</v>
      </c>
      <c r="D98" s="6" t="s">
        <v>38</v>
      </c>
      <c r="E98" s="6" t="s">
        <v>42</v>
      </c>
      <c r="F98" s="10" t="s">
        <v>101</v>
      </c>
      <c r="G98" s="6" t="s">
        <v>46</v>
      </c>
      <c r="H98" s="3">
        <v>654.16747058823523</v>
      </c>
      <c r="I98" s="3">
        <v>4</v>
      </c>
      <c r="J98" s="3">
        <f t="shared" si="1"/>
        <v>163.54186764705881</v>
      </c>
      <c r="K98" s="3">
        <v>2</v>
      </c>
      <c r="L98" s="3">
        <v>9</v>
      </c>
    </row>
    <row r="99" spans="1:12" x14ac:dyDescent="0.3">
      <c r="A99" s="5">
        <v>98</v>
      </c>
      <c r="B99" s="6" t="s">
        <v>120</v>
      </c>
      <c r="C99" s="4">
        <v>33</v>
      </c>
      <c r="D99" s="6" t="s">
        <v>53</v>
      </c>
      <c r="E99" s="6" t="s">
        <v>57</v>
      </c>
      <c r="F99" s="10" t="s">
        <v>101</v>
      </c>
      <c r="G99" s="6" t="s">
        <v>46</v>
      </c>
      <c r="H99" s="3">
        <v>897.82</v>
      </c>
      <c r="I99" s="3">
        <v>2</v>
      </c>
      <c r="J99" s="3">
        <f t="shared" si="1"/>
        <v>448.91</v>
      </c>
      <c r="K99" s="3">
        <v>5</v>
      </c>
      <c r="L99" s="3">
        <v>8</v>
      </c>
    </row>
    <row r="100" spans="1:12" x14ac:dyDescent="0.3">
      <c r="A100" s="5">
        <v>99</v>
      </c>
      <c r="B100" s="6" t="s">
        <v>133</v>
      </c>
      <c r="C100" s="4">
        <v>62</v>
      </c>
      <c r="D100" s="6" t="s">
        <v>38</v>
      </c>
      <c r="E100" s="6" t="s">
        <v>57</v>
      </c>
      <c r="F100" s="10">
        <v>44930</v>
      </c>
      <c r="G100" s="6" t="s">
        <v>40</v>
      </c>
      <c r="H100" s="3">
        <v>479.22</v>
      </c>
      <c r="I100" s="3">
        <v>3</v>
      </c>
      <c r="J100" s="3">
        <f t="shared" si="1"/>
        <v>159.74</v>
      </c>
      <c r="K100" s="3">
        <v>3</v>
      </c>
      <c r="L100" s="3">
        <v>4</v>
      </c>
    </row>
    <row r="101" spans="1:12" x14ac:dyDescent="0.3">
      <c r="A101" s="5">
        <v>100</v>
      </c>
      <c r="B101" s="6" t="s">
        <v>263</v>
      </c>
      <c r="C101" s="4">
        <v>35</v>
      </c>
      <c r="D101" s="6" t="s">
        <v>53</v>
      </c>
      <c r="E101" s="6" t="s">
        <v>45</v>
      </c>
      <c r="F101" s="10">
        <v>45289</v>
      </c>
      <c r="G101" s="6" t="s">
        <v>51</v>
      </c>
      <c r="H101" s="3">
        <v>670.88</v>
      </c>
      <c r="I101" s="3">
        <v>3</v>
      </c>
      <c r="J101" s="3">
        <f t="shared" si="1"/>
        <v>223.62666666666667</v>
      </c>
      <c r="K101" s="3">
        <v>1</v>
      </c>
      <c r="L101" s="3">
        <v>7.9588235294117649</v>
      </c>
    </row>
    <row r="102" spans="1:12" x14ac:dyDescent="0.3">
      <c r="A102" s="5">
        <v>101</v>
      </c>
      <c r="B102" s="6" t="s">
        <v>106</v>
      </c>
      <c r="C102" s="4">
        <v>64</v>
      </c>
      <c r="D102" s="6" t="s">
        <v>53</v>
      </c>
      <c r="E102" s="6" t="s">
        <v>39</v>
      </c>
      <c r="F102" s="10">
        <v>45044</v>
      </c>
      <c r="G102" s="6" t="s">
        <v>51</v>
      </c>
      <c r="H102" s="3">
        <v>180.6</v>
      </c>
      <c r="I102" s="3">
        <v>4</v>
      </c>
      <c r="J102" s="3">
        <f t="shared" si="1"/>
        <v>45.15</v>
      </c>
      <c r="K102" s="3">
        <v>3</v>
      </c>
      <c r="L102" s="3">
        <v>11</v>
      </c>
    </row>
    <row r="103" spans="1:12" x14ac:dyDescent="0.3">
      <c r="A103" s="5">
        <v>102</v>
      </c>
      <c r="B103" s="6" t="s">
        <v>86</v>
      </c>
      <c r="C103" s="4">
        <v>70</v>
      </c>
      <c r="D103" s="6" t="s">
        <v>38</v>
      </c>
      <c r="E103" s="6" t="s">
        <v>57</v>
      </c>
      <c r="F103" s="10">
        <v>44943</v>
      </c>
      <c r="G103" s="6" t="s">
        <v>46</v>
      </c>
      <c r="H103" s="3">
        <v>200.37</v>
      </c>
      <c r="I103" s="3">
        <v>4</v>
      </c>
      <c r="J103" s="3">
        <f t="shared" si="1"/>
        <v>50.092500000000001</v>
      </c>
      <c r="K103" s="3">
        <v>2</v>
      </c>
      <c r="L103" s="3">
        <v>10</v>
      </c>
    </row>
    <row r="104" spans="1:12" x14ac:dyDescent="0.3">
      <c r="A104" s="5">
        <v>103</v>
      </c>
      <c r="B104" s="6" t="s">
        <v>275</v>
      </c>
      <c r="C104" s="4">
        <v>41</v>
      </c>
      <c r="D104" s="6" t="s">
        <v>53</v>
      </c>
      <c r="E104" s="6" t="s">
        <v>39</v>
      </c>
      <c r="F104" s="10">
        <v>45079</v>
      </c>
      <c r="G104" s="6" t="s">
        <v>46</v>
      </c>
      <c r="H104" s="3">
        <v>50.46</v>
      </c>
      <c r="I104" s="3">
        <v>5</v>
      </c>
      <c r="J104" s="3">
        <f t="shared" si="1"/>
        <v>10.092000000000001</v>
      </c>
      <c r="K104" s="3">
        <v>4</v>
      </c>
      <c r="L104" s="3">
        <v>5</v>
      </c>
    </row>
    <row r="105" spans="1:12" x14ac:dyDescent="0.3">
      <c r="A105" s="5">
        <v>104</v>
      </c>
      <c r="B105" s="6" t="s">
        <v>262</v>
      </c>
      <c r="C105" s="4">
        <v>43</v>
      </c>
      <c r="D105" s="6" t="s">
        <v>53</v>
      </c>
      <c r="E105" s="6" t="s">
        <v>48</v>
      </c>
      <c r="F105" s="10">
        <v>45069</v>
      </c>
      <c r="G105" s="6" t="s">
        <v>51</v>
      </c>
      <c r="H105" s="3">
        <v>177.25</v>
      </c>
      <c r="I105" s="3">
        <v>4</v>
      </c>
      <c r="J105" s="3">
        <f t="shared" si="1"/>
        <v>44.3125</v>
      </c>
      <c r="K105" s="3">
        <v>5</v>
      </c>
      <c r="L105" s="3">
        <v>13</v>
      </c>
    </row>
    <row r="106" spans="1:12" x14ac:dyDescent="0.3">
      <c r="A106" s="5">
        <v>105</v>
      </c>
      <c r="B106" s="6" t="s">
        <v>88</v>
      </c>
      <c r="C106" s="4">
        <v>42</v>
      </c>
      <c r="D106" s="6" t="s">
        <v>38</v>
      </c>
      <c r="E106" s="6" t="s">
        <v>39</v>
      </c>
      <c r="F106" s="10" t="s">
        <v>89</v>
      </c>
      <c r="G106" s="6" t="s">
        <v>46</v>
      </c>
      <c r="H106" s="3">
        <v>285.8</v>
      </c>
      <c r="I106" s="3">
        <v>8</v>
      </c>
      <c r="J106" s="3">
        <f t="shared" si="1"/>
        <v>35.725000000000001</v>
      </c>
      <c r="K106" s="3">
        <v>1</v>
      </c>
      <c r="L106" s="3">
        <v>5</v>
      </c>
    </row>
    <row r="107" spans="1:12" x14ac:dyDescent="0.3">
      <c r="A107" s="5">
        <v>106</v>
      </c>
      <c r="B107" s="6" t="s">
        <v>208</v>
      </c>
      <c r="C107" s="4">
        <v>62</v>
      </c>
      <c r="D107" s="6" t="s">
        <v>53</v>
      </c>
      <c r="E107" s="6" t="s">
        <v>48</v>
      </c>
      <c r="F107" s="10">
        <v>45219</v>
      </c>
      <c r="G107" s="6" t="s">
        <v>51</v>
      </c>
      <c r="H107" s="3">
        <v>654.16747058823523</v>
      </c>
      <c r="I107" s="3">
        <v>6</v>
      </c>
      <c r="J107" s="3">
        <f t="shared" si="1"/>
        <v>109.02791176470588</v>
      </c>
      <c r="K107" s="3">
        <v>0</v>
      </c>
      <c r="L107" s="3">
        <v>11</v>
      </c>
    </row>
    <row r="108" spans="1:12" x14ac:dyDescent="0.3">
      <c r="A108" s="5">
        <v>107</v>
      </c>
      <c r="B108" s="6" t="s">
        <v>271</v>
      </c>
      <c r="C108" s="4">
        <v>58</v>
      </c>
      <c r="D108" s="6" t="s">
        <v>38</v>
      </c>
      <c r="E108" s="6" t="s">
        <v>42</v>
      </c>
      <c r="F108" s="10">
        <v>45051</v>
      </c>
      <c r="G108" s="6" t="s">
        <v>46</v>
      </c>
      <c r="H108" s="3">
        <v>97.82</v>
      </c>
      <c r="I108" s="3">
        <v>6</v>
      </c>
      <c r="J108" s="3">
        <f t="shared" si="1"/>
        <v>16.303333333333331</v>
      </c>
      <c r="K108" s="3">
        <v>2</v>
      </c>
      <c r="L108" s="3">
        <v>12</v>
      </c>
    </row>
    <row r="109" spans="1:12" x14ac:dyDescent="0.3">
      <c r="A109" s="5">
        <v>108</v>
      </c>
      <c r="B109" s="6" t="s">
        <v>241</v>
      </c>
      <c r="C109" s="4">
        <v>46</v>
      </c>
      <c r="D109" s="6" t="s">
        <v>38</v>
      </c>
      <c r="E109" s="6" t="s">
        <v>57</v>
      </c>
      <c r="F109" s="10" t="s">
        <v>242</v>
      </c>
      <c r="G109" s="6" t="s">
        <v>43</v>
      </c>
      <c r="H109" s="3">
        <v>654.16747058823523</v>
      </c>
      <c r="I109" s="3">
        <v>8</v>
      </c>
      <c r="J109" s="3">
        <f t="shared" si="1"/>
        <v>81.770933823529404</v>
      </c>
      <c r="K109" s="3">
        <v>5</v>
      </c>
      <c r="L109" s="3">
        <v>6</v>
      </c>
    </row>
    <row r="110" spans="1:12" x14ac:dyDescent="0.3">
      <c r="A110" s="5">
        <v>109</v>
      </c>
      <c r="B110" s="6" t="s">
        <v>76</v>
      </c>
      <c r="C110" s="4">
        <v>32</v>
      </c>
      <c r="D110" s="6" t="s">
        <v>304</v>
      </c>
      <c r="E110" s="6" t="s">
        <v>57</v>
      </c>
      <c r="F110" s="10">
        <v>44975</v>
      </c>
      <c r="G110" s="6" t="s">
        <v>46</v>
      </c>
      <c r="H110" s="3">
        <v>466.17</v>
      </c>
      <c r="I110" s="3">
        <v>7</v>
      </c>
      <c r="J110" s="3">
        <f t="shared" si="1"/>
        <v>66.595714285714294</v>
      </c>
      <c r="K110" s="3">
        <v>1</v>
      </c>
      <c r="L110" s="3">
        <v>7</v>
      </c>
    </row>
    <row r="111" spans="1:12" x14ac:dyDescent="0.3">
      <c r="A111" s="5">
        <v>110</v>
      </c>
      <c r="B111" s="6" t="s">
        <v>75</v>
      </c>
      <c r="C111" s="4">
        <v>62</v>
      </c>
      <c r="D111" s="6" t="s">
        <v>38</v>
      </c>
      <c r="E111" s="6" t="s">
        <v>42</v>
      </c>
      <c r="F111" s="10">
        <v>45264</v>
      </c>
      <c r="G111" s="6" t="s">
        <v>46</v>
      </c>
      <c r="H111" s="3">
        <v>214.27</v>
      </c>
      <c r="I111" s="3">
        <v>8</v>
      </c>
      <c r="J111" s="3">
        <f t="shared" si="1"/>
        <v>26.783750000000001</v>
      </c>
      <c r="K111" s="3">
        <v>2</v>
      </c>
      <c r="L111" s="3">
        <v>8</v>
      </c>
    </row>
    <row r="112" spans="1:12" x14ac:dyDescent="0.3">
      <c r="A112" s="5">
        <v>111</v>
      </c>
      <c r="B112" s="6" t="s">
        <v>218</v>
      </c>
      <c r="C112" s="4">
        <v>18</v>
      </c>
      <c r="D112" s="6" t="s">
        <v>38</v>
      </c>
      <c r="E112" s="6" t="s">
        <v>45</v>
      </c>
      <c r="F112" s="10">
        <v>45108</v>
      </c>
      <c r="G112" s="6" t="s">
        <v>51</v>
      </c>
      <c r="H112" s="3">
        <v>654.16747058823523</v>
      </c>
      <c r="I112" s="3">
        <v>2</v>
      </c>
      <c r="J112" s="3">
        <f t="shared" si="1"/>
        <v>327.08373529411762</v>
      </c>
      <c r="K112" s="3">
        <v>5</v>
      </c>
      <c r="L112" s="3">
        <v>14</v>
      </c>
    </row>
    <row r="113" spans="1:12" x14ac:dyDescent="0.3">
      <c r="A113" s="5">
        <v>112</v>
      </c>
      <c r="B113" s="6" t="s">
        <v>165</v>
      </c>
      <c r="C113" s="4">
        <v>42</v>
      </c>
      <c r="D113" s="6" t="s">
        <v>304</v>
      </c>
      <c r="E113" s="6" t="s">
        <v>48</v>
      </c>
      <c r="F113" s="10">
        <v>45137</v>
      </c>
      <c r="G113" s="6" t="s">
        <v>51</v>
      </c>
      <c r="H113" s="3">
        <v>508.38</v>
      </c>
      <c r="I113" s="3">
        <v>9</v>
      </c>
      <c r="J113" s="3">
        <f t="shared" si="1"/>
        <v>56.486666666666665</v>
      </c>
      <c r="K113" s="3">
        <v>4</v>
      </c>
      <c r="L113" s="3">
        <v>8</v>
      </c>
    </row>
    <row r="114" spans="1:12" x14ac:dyDescent="0.3">
      <c r="A114" s="5">
        <v>113</v>
      </c>
      <c r="B114" s="6" t="s">
        <v>156</v>
      </c>
      <c r="C114" s="4">
        <v>24</v>
      </c>
      <c r="D114" s="6" t="s">
        <v>38</v>
      </c>
      <c r="E114" s="6" t="s">
        <v>42</v>
      </c>
      <c r="F114" s="10">
        <v>44954</v>
      </c>
      <c r="G114" s="6" t="s">
        <v>51</v>
      </c>
      <c r="H114" s="3">
        <v>9451.2900000000009</v>
      </c>
      <c r="I114" s="3">
        <v>1</v>
      </c>
      <c r="J114" s="3">
        <f t="shared" si="1"/>
        <v>9451.2900000000009</v>
      </c>
      <c r="K114" s="3">
        <v>2</v>
      </c>
      <c r="L114" s="3">
        <v>11</v>
      </c>
    </row>
    <row r="115" spans="1:12" x14ac:dyDescent="0.3">
      <c r="A115" s="5">
        <v>114</v>
      </c>
      <c r="B115" s="6" t="s">
        <v>175</v>
      </c>
      <c r="C115" s="4">
        <v>26</v>
      </c>
      <c r="D115" s="6" t="s">
        <v>38</v>
      </c>
      <c r="E115" s="6" t="s">
        <v>39</v>
      </c>
      <c r="F115" s="10">
        <v>44958</v>
      </c>
      <c r="G115" s="6" t="s">
        <v>46</v>
      </c>
      <c r="H115" s="3">
        <v>48.92</v>
      </c>
      <c r="I115" s="3">
        <v>8</v>
      </c>
      <c r="J115" s="3">
        <f t="shared" si="1"/>
        <v>6.1150000000000002</v>
      </c>
      <c r="K115" s="3">
        <v>2</v>
      </c>
      <c r="L115" s="3">
        <v>14</v>
      </c>
    </row>
    <row r="116" spans="1:12" x14ac:dyDescent="0.3">
      <c r="A116" s="5">
        <v>115</v>
      </c>
      <c r="B116" s="6" t="s">
        <v>179</v>
      </c>
      <c r="C116" s="4">
        <v>41</v>
      </c>
      <c r="D116" s="6" t="s">
        <v>304</v>
      </c>
      <c r="E116" s="6" t="s">
        <v>39</v>
      </c>
      <c r="F116" s="10">
        <v>45100</v>
      </c>
      <c r="G116" s="6" t="s">
        <v>43</v>
      </c>
      <c r="H116" s="3">
        <v>801.42</v>
      </c>
      <c r="I116" s="3">
        <v>4</v>
      </c>
      <c r="J116" s="3">
        <f t="shared" si="1"/>
        <v>200.35499999999999</v>
      </c>
      <c r="K116" s="3">
        <v>4</v>
      </c>
      <c r="L116" s="3">
        <v>13</v>
      </c>
    </row>
    <row r="117" spans="1:12" x14ac:dyDescent="0.3">
      <c r="A117" s="5">
        <v>116</v>
      </c>
      <c r="B117" s="6" t="s">
        <v>132</v>
      </c>
      <c r="C117" s="4">
        <v>18</v>
      </c>
      <c r="D117" s="6" t="s">
        <v>38</v>
      </c>
      <c r="E117" s="6" t="s">
        <v>42</v>
      </c>
      <c r="F117" s="10">
        <v>45143</v>
      </c>
      <c r="G117" s="6" t="s">
        <v>51</v>
      </c>
      <c r="H117" s="3">
        <v>654.16747058823523</v>
      </c>
      <c r="I117" s="3">
        <v>4</v>
      </c>
      <c r="J117" s="3">
        <f t="shared" si="1"/>
        <v>163.54186764705881</v>
      </c>
      <c r="K117" s="3">
        <v>3</v>
      </c>
      <c r="L117" s="3">
        <v>2</v>
      </c>
    </row>
    <row r="118" spans="1:12" x14ac:dyDescent="0.3">
      <c r="A118" s="5">
        <v>117</v>
      </c>
      <c r="B118" s="6" t="s">
        <v>264</v>
      </c>
      <c r="C118" s="4">
        <v>43.5</v>
      </c>
      <c r="D118" s="6" t="s">
        <v>38</v>
      </c>
      <c r="E118" s="6" t="s">
        <v>57</v>
      </c>
      <c r="F118" s="10">
        <v>45024</v>
      </c>
      <c r="G118" s="6" t="s">
        <v>51</v>
      </c>
      <c r="H118" s="3">
        <v>90.94</v>
      </c>
      <c r="I118" s="3">
        <v>5</v>
      </c>
      <c r="J118" s="3">
        <f t="shared" si="1"/>
        <v>18.187999999999999</v>
      </c>
      <c r="K118" s="3">
        <v>1</v>
      </c>
      <c r="L118" s="3">
        <v>9</v>
      </c>
    </row>
    <row r="119" spans="1:12" x14ac:dyDescent="0.3">
      <c r="A119" s="5">
        <v>118</v>
      </c>
      <c r="B119" s="6" t="s">
        <v>110</v>
      </c>
      <c r="C119" s="4">
        <v>25</v>
      </c>
      <c r="D119" s="6" t="s">
        <v>53</v>
      </c>
      <c r="E119" s="6" t="s">
        <v>39</v>
      </c>
      <c r="F119" s="10">
        <v>44998</v>
      </c>
      <c r="G119" s="6" t="s">
        <v>46</v>
      </c>
      <c r="H119" s="3">
        <v>654.16747058823523</v>
      </c>
      <c r="I119" s="3">
        <v>8</v>
      </c>
      <c r="J119" s="3">
        <f t="shared" si="1"/>
        <v>81.770933823529404</v>
      </c>
      <c r="K119" s="3">
        <v>3</v>
      </c>
      <c r="L119" s="3">
        <v>7</v>
      </c>
    </row>
    <row r="120" spans="1:12" x14ac:dyDescent="0.3">
      <c r="A120" s="5">
        <v>119</v>
      </c>
      <c r="B120" s="6" t="s">
        <v>138</v>
      </c>
      <c r="C120" s="4">
        <v>43.5</v>
      </c>
      <c r="D120" s="6" t="s">
        <v>38</v>
      </c>
      <c r="E120" s="6" t="s">
        <v>42</v>
      </c>
      <c r="F120" s="10">
        <v>45020</v>
      </c>
      <c r="G120" s="6" t="s">
        <v>40</v>
      </c>
      <c r="H120" s="3">
        <v>921.66</v>
      </c>
      <c r="I120" s="3">
        <v>5</v>
      </c>
      <c r="J120" s="3">
        <f t="shared" si="1"/>
        <v>184.33199999999999</v>
      </c>
      <c r="K120" s="3">
        <v>5</v>
      </c>
      <c r="L120" s="3">
        <v>7.9588235294117649</v>
      </c>
    </row>
    <row r="121" spans="1:12" x14ac:dyDescent="0.3">
      <c r="A121" s="5">
        <v>120</v>
      </c>
      <c r="B121" s="6" t="s">
        <v>160</v>
      </c>
      <c r="C121" s="4">
        <v>28</v>
      </c>
      <c r="D121" s="6" t="s">
        <v>304</v>
      </c>
      <c r="E121" s="6" t="s">
        <v>42</v>
      </c>
      <c r="F121" s="10" t="s">
        <v>161</v>
      </c>
      <c r="G121" s="6" t="s">
        <v>51</v>
      </c>
      <c r="H121" s="3">
        <v>70.47</v>
      </c>
      <c r="I121" s="3">
        <v>8</v>
      </c>
      <c r="J121" s="3">
        <f t="shared" si="1"/>
        <v>8.8087499999999999</v>
      </c>
      <c r="K121" s="3">
        <v>4</v>
      </c>
      <c r="L121" s="3">
        <v>4</v>
      </c>
    </row>
    <row r="122" spans="1:12" x14ac:dyDescent="0.3">
      <c r="A122" s="5">
        <v>121</v>
      </c>
      <c r="B122" s="6" t="s">
        <v>177</v>
      </c>
      <c r="C122" s="4">
        <v>68</v>
      </c>
      <c r="D122" s="6" t="s">
        <v>53</v>
      </c>
      <c r="E122" s="6" t="s">
        <v>42</v>
      </c>
      <c r="F122" s="10">
        <v>44965</v>
      </c>
      <c r="G122" s="6" t="s">
        <v>51</v>
      </c>
      <c r="H122" s="3">
        <v>284.11</v>
      </c>
      <c r="I122" s="3">
        <v>1</v>
      </c>
      <c r="J122" s="3">
        <f t="shared" si="1"/>
        <v>284.11</v>
      </c>
      <c r="K122" s="3">
        <v>3</v>
      </c>
      <c r="L122" s="3">
        <v>11</v>
      </c>
    </row>
    <row r="123" spans="1:12" x14ac:dyDescent="0.3">
      <c r="A123" s="5">
        <v>122</v>
      </c>
      <c r="B123" s="6" t="s">
        <v>267</v>
      </c>
      <c r="C123" s="4">
        <v>34</v>
      </c>
      <c r="D123" s="6" t="s">
        <v>38</v>
      </c>
      <c r="E123" s="6" t="s">
        <v>48</v>
      </c>
      <c r="F123" s="10">
        <v>45208</v>
      </c>
      <c r="G123" s="6" t="s">
        <v>51</v>
      </c>
      <c r="H123" s="3">
        <v>808.14</v>
      </c>
      <c r="I123" s="3">
        <v>9</v>
      </c>
      <c r="J123" s="3">
        <f t="shared" si="1"/>
        <v>89.793333333333337</v>
      </c>
      <c r="K123" s="3">
        <v>2</v>
      </c>
      <c r="L123" s="3">
        <v>8</v>
      </c>
    </row>
    <row r="124" spans="1:12" x14ac:dyDescent="0.3">
      <c r="A124" s="5">
        <v>123</v>
      </c>
      <c r="B124" s="6" t="s">
        <v>150</v>
      </c>
      <c r="C124" s="4">
        <v>25</v>
      </c>
      <c r="D124" s="6" t="s">
        <v>38</v>
      </c>
      <c r="E124" s="6" t="s">
        <v>48</v>
      </c>
      <c r="F124" s="10">
        <v>44952</v>
      </c>
      <c r="G124" s="6" t="s">
        <v>40</v>
      </c>
      <c r="H124" s="3">
        <v>750.78</v>
      </c>
      <c r="I124" s="3">
        <v>6</v>
      </c>
      <c r="J124" s="3">
        <f t="shared" si="1"/>
        <v>125.13</v>
      </c>
      <c r="K124" s="3">
        <v>5</v>
      </c>
      <c r="L124" s="3">
        <v>4</v>
      </c>
    </row>
    <row r="125" spans="1:12" x14ac:dyDescent="0.3">
      <c r="A125" s="5">
        <v>124</v>
      </c>
      <c r="B125" s="6" t="s">
        <v>194</v>
      </c>
      <c r="C125" s="4">
        <v>52</v>
      </c>
      <c r="D125" s="6" t="s">
        <v>304</v>
      </c>
      <c r="E125" s="6" t="s">
        <v>42</v>
      </c>
      <c r="F125" s="10" t="s">
        <v>124</v>
      </c>
      <c r="G125" s="6" t="s">
        <v>40</v>
      </c>
      <c r="H125" s="3">
        <v>192.68</v>
      </c>
      <c r="I125" s="3">
        <v>3</v>
      </c>
      <c r="J125" s="3">
        <f t="shared" si="1"/>
        <v>64.226666666666674</v>
      </c>
      <c r="K125" s="3">
        <v>5</v>
      </c>
      <c r="L125" s="3">
        <v>13</v>
      </c>
    </row>
    <row r="126" spans="1:12" x14ac:dyDescent="0.3">
      <c r="A126" s="5">
        <v>125</v>
      </c>
      <c r="B126" s="6" t="s">
        <v>145</v>
      </c>
      <c r="C126" s="4">
        <v>52</v>
      </c>
      <c r="D126" s="6" t="s">
        <v>38</v>
      </c>
      <c r="E126" s="6" t="s">
        <v>48</v>
      </c>
      <c r="F126" s="10">
        <v>45012</v>
      </c>
      <c r="G126" s="6" t="s">
        <v>46</v>
      </c>
      <c r="H126" s="3">
        <v>217.26</v>
      </c>
      <c r="I126" s="3">
        <v>8</v>
      </c>
      <c r="J126" s="3">
        <f t="shared" si="1"/>
        <v>27.157499999999999</v>
      </c>
      <c r="K126" s="3">
        <v>3</v>
      </c>
      <c r="L126" s="3">
        <v>6</v>
      </c>
    </row>
    <row r="127" spans="1:12" x14ac:dyDescent="0.3">
      <c r="A127" s="5">
        <v>126</v>
      </c>
      <c r="B127" s="6" t="s">
        <v>79</v>
      </c>
      <c r="C127" s="4">
        <v>43.5</v>
      </c>
      <c r="D127" s="6" t="s">
        <v>53</v>
      </c>
      <c r="E127" s="6" t="s">
        <v>57</v>
      </c>
      <c r="F127" s="10">
        <v>45175</v>
      </c>
      <c r="G127" s="6" t="s">
        <v>40</v>
      </c>
      <c r="H127" s="3">
        <v>376.77</v>
      </c>
      <c r="I127" s="3">
        <v>9</v>
      </c>
      <c r="J127" s="3">
        <f t="shared" si="1"/>
        <v>41.86333333333333</v>
      </c>
      <c r="K127" s="3">
        <v>0</v>
      </c>
      <c r="L127" s="3">
        <v>5</v>
      </c>
    </row>
    <row r="128" spans="1:12" x14ac:dyDescent="0.3">
      <c r="A128" s="5">
        <v>127</v>
      </c>
      <c r="B128" s="6" t="s">
        <v>63</v>
      </c>
      <c r="C128" s="4">
        <v>22</v>
      </c>
      <c r="D128" s="6" t="s">
        <v>38</v>
      </c>
      <c r="E128" s="6" t="s">
        <v>57</v>
      </c>
      <c r="F128" s="10">
        <v>45036</v>
      </c>
      <c r="G128" s="6" t="s">
        <v>43</v>
      </c>
      <c r="H128" s="3">
        <v>489.68</v>
      </c>
      <c r="I128" s="3">
        <v>6</v>
      </c>
      <c r="J128" s="3">
        <f t="shared" si="1"/>
        <v>81.61333333333333</v>
      </c>
      <c r="K128" s="3">
        <v>4</v>
      </c>
      <c r="L128" s="3">
        <v>3</v>
      </c>
    </row>
    <row r="129" spans="1:12" x14ac:dyDescent="0.3">
      <c r="A129" s="5">
        <v>128</v>
      </c>
      <c r="B129" s="6" t="s">
        <v>154</v>
      </c>
      <c r="C129" s="4">
        <v>59</v>
      </c>
      <c r="D129" s="6" t="s">
        <v>38</v>
      </c>
      <c r="E129" s="6" t="s">
        <v>48</v>
      </c>
      <c r="F129" s="10" t="s">
        <v>155</v>
      </c>
      <c r="G129" s="6" t="s">
        <v>51</v>
      </c>
      <c r="H129" s="3">
        <v>622.07000000000005</v>
      </c>
      <c r="I129" s="3">
        <v>7</v>
      </c>
      <c r="J129" s="3">
        <f t="shared" si="1"/>
        <v>88.867142857142866</v>
      </c>
      <c r="K129" s="3">
        <v>1</v>
      </c>
      <c r="L129" s="3">
        <v>13</v>
      </c>
    </row>
    <row r="130" spans="1:12" x14ac:dyDescent="0.3">
      <c r="A130" s="5">
        <v>129</v>
      </c>
      <c r="B130" s="6" t="s">
        <v>121</v>
      </c>
      <c r="C130" s="4">
        <v>43.5</v>
      </c>
      <c r="D130" s="6" t="s">
        <v>304</v>
      </c>
      <c r="E130" s="6" t="s">
        <v>42</v>
      </c>
      <c r="F130" s="10">
        <v>45121</v>
      </c>
      <c r="G130" s="6" t="s">
        <v>40</v>
      </c>
      <c r="H130" s="3">
        <v>375.22</v>
      </c>
      <c r="I130" s="3">
        <v>1</v>
      </c>
      <c r="J130" s="3">
        <f t="shared" si="1"/>
        <v>375.22</v>
      </c>
      <c r="K130" s="3">
        <v>3</v>
      </c>
      <c r="L130" s="3">
        <v>14</v>
      </c>
    </row>
    <row r="131" spans="1:12" x14ac:dyDescent="0.3">
      <c r="A131" s="5">
        <v>130</v>
      </c>
      <c r="B131" s="6" t="s">
        <v>252</v>
      </c>
      <c r="C131" s="4">
        <v>58</v>
      </c>
      <c r="D131" s="6" t="s">
        <v>38</v>
      </c>
      <c r="E131" s="6" t="s">
        <v>48</v>
      </c>
      <c r="F131" s="10">
        <v>45126</v>
      </c>
      <c r="G131" s="6" t="s">
        <v>46</v>
      </c>
      <c r="H131" s="3">
        <v>467.91</v>
      </c>
      <c r="I131" s="3">
        <v>5</v>
      </c>
      <c r="J131" s="3">
        <f t="shared" ref="J131:J194" si="2">H131/I131</f>
        <v>93.582000000000008</v>
      </c>
      <c r="K131" s="3">
        <v>3</v>
      </c>
      <c r="L131" s="3">
        <v>10</v>
      </c>
    </row>
    <row r="132" spans="1:12" x14ac:dyDescent="0.3">
      <c r="A132" s="5">
        <v>131</v>
      </c>
      <c r="B132" s="6" t="s">
        <v>260</v>
      </c>
      <c r="C132" s="4">
        <v>45</v>
      </c>
      <c r="D132" s="6" t="s">
        <v>38</v>
      </c>
      <c r="E132" s="6" t="s">
        <v>57</v>
      </c>
      <c r="F132" s="10">
        <v>45159</v>
      </c>
      <c r="G132" s="6" t="s">
        <v>43</v>
      </c>
      <c r="H132" s="3">
        <v>750</v>
      </c>
      <c r="I132" s="3">
        <v>5</v>
      </c>
      <c r="J132" s="3">
        <f t="shared" si="2"/>
        <v>150</v>
      </c>
      <c r="K132" s="3">
        <v>2</v>
      </c>
      <c r="L132" s="3">
        <v>11</v>
      </c>
    </row>
    <row r="133" spans="1:12" x14ac:dyDescent="0.3">
      <c r="A133" s="5">
        <v>132</v>
      </c>
      <c r="B133" s="6" t="s">
        <v>230</v>
      </c>
      <c r="C133" s="4">
        <v>24</v>
      </c>
      <c r="D133" s="6" t="s">
        <v>38</v>
      </c>
      <c r="E133" s="6" t="s">
        <v>57</v>
      </c>
      <c r="F133" s="10">
        <v>45143</v>
      </c>
      <c r="G133" s="6" t="s">
        <v>46</v>
      </c>
      <c r="H133" s="3">
        <v>654.16747058823523</v>
      </c>
      <c r="I133" s="3">
        <v>4</v>
      </c>
      <c r="J133" s="3">
        <f t="shared" si="2"/>
        <v>163.54186764705881</v>
      </c>
      <c r="K133" s="3">
        <v>0</v>
      </c>
      <c r="L133" s="3">
        <v>2</v>
      </c>
    </row>
    <row r="134" spans="1:12" x14ac:dyDescent="0.3">
      <c r="A134" s="5">
        <v>133</v>
      </c>
      <c r="B134" s="6" t="s">
        <v>90</v>
      </c>
      <c r="C134" s="4">
        <v>26</v>
      </c>
      <c r="D134" s="6" t="s">
        <v>38</v>
      </c>
      <c r="E134" s="6" t="s">
        <v>45</v>
      </c>
      <c r="F134" s="10" t="s">
        <v>81</v>
      </c>
      <c r="G134" s="6" t="s">
        <v>46</v>
      </c>
      <c r="H134" s="3">
        <v>259.91000000000003</v>
      </c>
      <c r="I134" s="3">
        <v>6</v>
      </c>
      <c r="J134" s="3">
        <f t="shared" si="2"/>
        <v>43.318333333333335</v>
      </c>
      <c r="K134" s="3">
        <v>1</v>
      </c>
      <c r="L134" s="3">
        <v>9</v>
      </c>
    </row>
    <row r="135" spans="1:12" x14ac:dyDescent="0.3">
      <c r="A135" s="5">
        <v>134</v>
      </c>
      <c r="B135" s="6" t="s">
        <v>210</v>
      </c>
      <c r="C135" s="4">
        <v>43.5</v>
      </c>
      <c r="D135" s="6" t="s">
        <v>53</v>
      </c>
      <c r="E135" s="6" t="s">
        <v>39</v>
      </c>
      <c r="F135" s="10">
        <v>44932</v>
      </c>
      <c r="G135" s="6" t="s">
        <v>43</v>
      </c>
      <c r="H135" s="3">
        <v>716.22</v>
      </c>
      <c r="I135" s="3">
        <v>7</v>
      </c>
      <c r="J135" s="3">
        <f t="shared" si="2"/>
        <v>102.31714285714285</v>
      </c>
      <c r="K135" s="3">
        <v>2</v>
      </c>
      <c r="L135" s="3">
        <v>10</v>
      </c>
    </row>
    <row r="136" spans="1:12" x14ac:dyDescent="0.3">
      <c r="A136" s="5">
        <v>135</v>
      </c>
      <c r="B136" s="6" t="s">
        <v>236</v>
      </c>
      <c r="C136" s="4">
        <v>43.5</v>
      </c>
      <c r="D136" s="6" t="s">
        <v>38</v>
      </c>
      <c r="E136" s="6" t="s">
        <v>57</v>
      </c>
      <c r="F136" s="10">
        <v>44956</v>
      </c>
      <c r="G136" s="6" t="s">
        <v>46</v>
      </c>
      <c r="H136" s="3">
        <v>896.25</v>
      </c>
      <c r="I136" s="3">
        <v>9</v>
      </c>
      <c r="J136" s="3">
        <f t="shared" si="2"/>
        <v>99.583333333333329</v>
      </c>
      <c r="K136" s="3">
        <v>0</v>
      </c>
      <c r="L136" s="3">
        <v>7.9588235294117649</v>
      </c>
    </row>
    <row r="137" spans="1:12" x14ac:dyDescent="0.3">
      <c r="A137" s="5">
        <v>136</v>
      </c>
      <c r="B137" s="6" t="s">
        <v>113</v>
      </c>
      <c r="C137" s="4">
        <v>51</v>
      </c>
      <c r="D137" s="6" t="s">
        <v>53</v>
      </c>
      <c r="E137" s="6" t="s">
        <v>48</v>
      </c>
      <c r="F137" s="10">
        <v>45087</v>
      </c>
      <c r="G137" s="6" t="s">
        <v>43</v>
      </c>
      <c r="H137" s="3">
        <v>516.55999999999995</v>
      </c>
      <c r="I137" s="3">
        <v>1</v>
      </c>
      <c r="J137" s="3">
        <f t="shared" si="2"/>
        <v>516.55999999999995</v>
      </c>
      <c r="K137" s="3">
        <v>4</v>
      </c>
      <c r="L137" s="3">
        <v>1</v>
      </c>
    </row>
    <row r="138" spans="1:12" x14ac:dyDescent="0.3">
      <c r="A138" s="5">
        <v>137</v>
      </c>
      <c r="B138" s="6" t="s">
        <v>60</v>
      </c>
      <c r="C138" s="4">
        <v>43.5</v>
      </c>
      <c r="D138" s="6" t="s">
        <v>304</v>
      </c>
      <c r="E138" s="6" t="s">
        <v>42</v>
      </c>
      <c r="F138" s="10">
        <v>44952</v>
      </c>
      <c r="G138" s="6" t="s">
        <v>51</v>
      </c>
      <c r="H138" s="3">
        <v>536.79</v>
      </c>
      <c r="I138" s="3">
        <v>6</v>
      </c>
      <c r="J138" s="3">
        <f t="shared" si="2"/>
        <v>89.464999999999989</v>
      </c>
      <c r="K138" s="3">
        <v>3</v>
      </c>
      <c r="L138" s="3">
        <v>10</v>
      </c>
    </row>
    <row r="139" spans="1:12" x14ac:dyDescent="0.3">
      <c r="A139" s="5">
        <v>138</v>
      </c>
      <c r="B139" s="6" t="s">
        <v>191</v>
      </c>
      <c r="C139" s="4">
        <v>65</v>
      </c>
      <c r="D139" s="6" t="s">
        <v>38</v>
      </c>
      <c r="E139" s="6" t="s">
        <v>42</v>
      </c>
      <c r="F139" s="10" t="s">
        <v>192</v>
      </c>
      <c r="G139" s="6" t="s">
        <v>51</v>
      </c>
      <c r="H139" s="3">
        <v>116.1</v>
      </c>
      <c r="I139" s="3">
        <v>7</v>
      </c>
      <c r="J139" s="3">
        <f t="shared" si="2"/>
        <v>16.585714285714285</v>
      </c>
      <c r="K139" s="3">
        <v>3</v>
      </c>
      <c r="L139" s="3">
        <v>3</v>
      </c>
    </row>
    <row r="140" spans="1:12" x14ac:dyDescent="0.3">
      <c r="A140" s="5">
        <v>139</v>
      </c>
      <c r="B140" s="6" t="s">
        <v>164</v>
      </c>
      <c r="C140" s="4">
        <v>43.5</v>
      </c>
      <c r="D140" s="6" t="s">
        <v>38</v>
      </c>
      <c r="E140" s="6" t="s">
        <v>48</v>
      </c>
      <c r="F140" s="10">
        <v>44956</v>
      </c>
      <c r="G140" s="6" t="s">
        <v>46</v>
      </c>
      <c r="H140" s="3">
        <v>654.16747058823523</v>
      </c>
      <c r="I140" s="3">
        <v>3</v>
      </c>
      <c r="J140" s="3">
        <f t="shared" si="2"/>
        <v>218.05582352941175</v>
      </c>
      <c r="K140" s="3">
        <v>4</v>
      </c>
      <c r="L140" s="3">
        <v>7.9588235294117649</v>
      </c>
    </row>
    <row r="141" spans="1:12" x14ac:dyDescent="0.3">
      <c r="A141" s="5">
        <v>140</v>
      </c>
      <c r="B141" s="6" t="s">
        <v>114</v>
      </c>
      <c r="C141" s="4">
        <v>40</v>
      </c>
      <c r="D141" s="6" t="s">
        <v>38</v>
      </c>
      <c r="E141" s="6" t="s">
        <v>42</v>
      </c>
      <c r="F141" s="10">
        <v>45022</v>
      </c>
      <c r="G141" s="6" t="s">
        <v>40</v>
      </c>
      <c r="H141" s="3">
        <v>537.29</v>
      </c>
      <c r="I141" s="3">
        <v>8</v>
      </c>
      <c r="J141" s="3">
        <f t="shared" si="2"/>
        <v>67.161249999999995</v>
      </c>
      <c r="K141" s="3">
        <v>3</v>
      </c>
      <c r="L141" s="3">
        <v>6</v>
      </c>
    </row>
    <row r="142" spans="1:12" x14ac:dyDescent="0.3">
      <c r="A142" s="5">
        <v>141</v>
      </c>
      <c r="B142" s="6" t="s">
        <v>148</v>
      </c>
      <c r="C142" s="4">
        <v>41</v>
      </c>
      <c r="D142" s="6" t="s">
        <v>38</v>
      </c>
      <c r="E142" s="6" t="s">
        <v>45</v>
      </c>
      <c r="F142" s="10">
        <v>45231</v>
      </c>
      <c r="G142" s="6" t="s">
        <v>46</v>
      </c>
      <c r="H142" s="3">
        <v>250.05</v>
      </c>
      <c r="I142" s="3">
        <v>5</v>
      </c>
      <c r="J142" s="3">
        <f t="shared" si="2"/>
        <v>50.010000000000005</v>
      </c>
      <c r="K142" s="3">
        <v>1</v>
      </c>
      <c r="L142" s="3">
        <v>5</v>
      </c>
    </row>
    <row r="143" spans="1:12" x14ac:dyDescent="0.3">
      <c r="A143" s="5">
        <v>142</v>
      </c>
      <c r="B143" s="6" t="s">
        <v>102</v>
      </c>
      <c r="C143" s="4">
        <v>43.5</v>
      </c>
      <c r="D143" s="6" t="s">
        <v>304</v>
      </c>
      <c r="E143" s="6" t="s">
        <v>48</v>
      </c>
      <c r="F143" s="10">
        <v>45272</v>
      </c>
      <c r="G143" s="6" t="s">
        <v>46</v>
      </c>
      <c r="H143" s="3">
        <v>276.55</v>
      </c>
      <c r="I143" s="3">
        <v>9</v>
      </c>
      <c r="J143" s="3">
        <f t="shared" si="2"/>
        <v>30.727777777777778</v>
      </c>
      <c r="K143" s="3">
        <v>3</v>
      </c>
      <c r="L143" s="3">
        <v>5</v>
      </c>
    </row>
    <row r="144" spans="1:12" x14ac:dyDescent="0.3">
      <c r="A144" s="5">
        <v>143</v>
      </c>
      <c r="B144" s="6" t="s">
        <v>77</v>
      </c>
      <c r="C144" s="4">
        <v>52</v>
      </c>
      <c r="D144" s="6" t="s">
        <v>38</v>
      </c>
      <c r="E144" s="6" t="s">
        <v>57</v>
      </c>
      <c r="F144" s="10">
        <v>45133</v>
      </c>
      <c r="G144" s="6" t="s">
        <v>40</v>
      </c>
      <c r="H144" s="3">
        <v>654.16747058823523</v>
      </c>
      <c r="I144" s="3">
        <v>5</v>
      </c>
      <c r="J144" s="3">
        <f t="shared" si="2"/>
        <v>130.83349411764704</v>
      </c>
      <c r="K144" s="3">
        <v>5</v>
      </c>
      <c r="L144" s="3">
        <v>7.9588235294117649</v>
      </c>
    </row>
    <row r="145" spans="1:12" x14ac:dyDescent="0.3">
      <c r="A145" s="5">
        <v>144</v>
      </c>
      <c r="B145" s="6" t="s">
        <v>134</v>
      </c>
      <c r="C145" s="4">
        <v>61</v>
      </c>
      <c r="D145" s="6" t="s">
        <v>53</v>
      </c>
      <c r="E145" s="6" t="s">
        <v>42</v>
      </c>
      <c r="F145" s="10" t="s">
        <v>135</v>
      </c>
      <c r="G145" s="6" t="s">
        <v>40</v>
      </c>
      <c r="H145" s="3">
        <v>29.87</v>
      </c>
      <c r="I145" s="3">
        <v>9</v>
      </c>
      <c r="J145" s="3">
        <f t="shared" si="2"/>
        <v>3.318888888888889</v>
      </c>
      <c r="K145" s="3">
        <v>3</v>
      </c>
      <c r="L145" s="3">
        <v>7</v>
      </c>
    </row>
    <row r="146" spans="1:12" x14ac:dyDescent="0.3">
      <c r="A146" s="5">
        <v>145</v>
      </c>
      <c r="B146" s="6" t="s">
        <v>172</v>
      </c>
      <c r="C146" s="4">
        <v>57</v>
      </c>
      <c r="D146" s="6" t="s">
        <v>38</v>
      </c>
      <c r="E146" s="6" t="s">
        <v>42</v>
      </c>
      <c r="F146" s="10">
        <v>45223</v>
      </c>
      <c r="G146" s="6" t="s">
        <v>51</v>
      </c>
      <c r="H146" s="3">
        <v>328.86</v>
      </c>
      <c r="I146" s="3">
        <v>4</v>
      </c>
      <c r="J146" s="3">
        <f t="shared" si="2"/>
        <v>82.215000000000003</v>
      </c>
      <c r="K146" s="3">
        <v>2</v>
      </c>
      <c r="L146" s="3">
        <v>1</v>
      </c>
    </row>
    <row r="147" spans="1:12" x14ac:dyDescent="0.3">
      <c r="A147" s="5">
        <v>146</v>
      </c>
      <c r="B147" s="6" t="s">
        <v>206</v>
      </c>
      <c r="C147" s="4">
        <v>43.5</v>
      </c>
      <c r="D147" s="6" t="s">
        <v>38</v>
      </c>
      <c r="E147" s="6" t="s">
        <v>42</v>
      </c>
      <c r="F147" s="10">
        <v>45244</v>
      </c>
      <c r="G147" s="6" t="s">
        <v>51</v>
      </c>
      <c r="H147" s="3">
        <v>219.33</v>
      </c>
      <c r="I147" s="3">
        <v>9</v>
      </c>
      <c r="J147" s="3">
        <f t="shared" si="2"/>
        <v>24.37</v>
      </c>
      <c r="K147" s="3">
        <v>1</v>
      </c>
      <c r="L147" s="3">
        <v>9</v>
      </c>
    </row>
    <row r="148" spans="1:12" x14ac:dyDescent="0.3">
      <c r="A148" s="5">
        <v>147</v>
      </c>
      <c r="B148" s="6" t="s">
        <v>118</v>
      </c>
      <c r="C148" s="4">
        <v>44</v>
      </c>
      <c r="D148" s="6" t="s">
        <v>38</v>
      </c>
      <c r="E148" s="6" t="s">
        <v>42</v>
      </c>
      <c r="F148" s="10">
        <v>45141</v>
      </c>
      <c r="G148" s="6" t="s">
        <v>51</v>
      </c>
      <c r="H148" s="3">
        <v>334.22</v>
      </c>
      <c r="I148" s="3">
        <v>5</v>
      </c>
      <c r="J148" s="3">
        <f t="shared" si="2"/>
        <v>66.844000000000008</v>
      </c>
      <c r="K148" s="3">
        <v>2</v>
      </c>
      <c r="L148" s="3">
        <v>3</v>
      </c>
    </row>
    <row r="149" spans="1:12" x14ac:dyDescent="0.3">
      <c r="A149" s="5">
        <v>148</v>
      </c>
      <c r="B149" s="6" t="s">
        <v>73</v>
      </c>
      <c r="C149" s="4">
        <v>43.5</v>
      </c>
      <c r="D149" s="6" t="s">
        <v>53</v>
      </c>
      <c r="E149" s="6" t="s">
        <v>45</v>
      </c>
      <c r="F149" s="10" t="s">
        <v>74</v>
      </c>
      <c r="G149" s="6" t="s">
        <v>43</v>
      </c>
      <c r="H149" s="3">
        <v>128.56</v>
      </c>
      <c r="I149" s="3">
        <v>9</v>
      </c>
      <c r="J149" s="3">
        <f t="shared" si="2"/>
        <v>14.284444444444444</v>
      </c>
      <c r="K149" s="3">
        <v>0</v>
      </c>
      <c r="L149" s="3">
        <v>4</v>
      </c>
    </row>
    <row r="150" spans="1:12" x14ac:dyDescent="0.3">
      <c r="A150" s="5">
        <v>149</v>
      </c>
      <c r="B150" s="6" t="s">
        <v>182</v>
      </c>
      <c r="C150" s="4">
        <v>18</v>
      </c>
      <c r="D150" s="6" t="s">
        <v>38</v>
      </c>
      <c r="E150" s="6" t="s">
        <v>48</v>
      </c>
      <c r="F150" s="10">
        <v>45269</v>
      </c>
      <c r="G150" s="6" t="s">
        <v>51</v>
      </c>
      <c r="H150" s="3">
        <v>891.62</v>
      </c>
      <c r="I150" s="3">
        <v>3</v>
      </c>
      <c r="J150" s="3">
        <f t="shared" si="2"/>
        <v>297.20666666666665</v>
      </c>
      <c r="K150" s="3">
        <v>5</v>
      </c>
      <c r="L150" s="3">
        <v>10</v>
      </c>
    </row>
    <row r="151" spans="1:12" x14ac:dyDescent="0.3">
      <c r="A151" s="5">
        <v>150</v>
      </c>
      <c r="B151" s="6" t="s">
        <v>259</v>
      </c>
      <c r="C151" s="4">
        <v>52</v>
      </c>
      <c r="D151" s="6" t="s">
        <v>38</v>
      </c>
      <c r="E151" s="6" t="s">
        <v>45</v>
      </c>
      <c r="F151" s="10">
        <v>45049</v>
      </c>
      <c r="G151" s="6" t="s">
        <v>40</v>
      </c>
      <c r="H151" s="3">
        <v>654.16747058823523</v>
      </c>
      <c r="I151" s="3">
        <v>4</v>
      </c>
      <c r="J151" s="3">
        <f t="shared" si="2"/>
        <v>163.54186764705881</v>
      </c>
      <c r="K151" s="3">
        <v>1</v>
      </c>
      <c r="L151" s="3">
        <v>1</v>
      </c>
    </row>
    <row r="152" spans="1:12" x14ac:dyDescent="0.3">
      <c r="A152" s="5">
        <v>151</v>
      </c>
      <c r="B152" s="6" t="s">
        <v>98</v>
      </c>
      <c r="C152" s="4">
        <v>54</v>
      </c>
      <c r="D152" s="6" t="s">
        <v>38</v>
      </c>
      <c r="E152" s="6" t="s">
        <v>39</v>
      </c>
      <c r="F152" s="10" t="s">
        <v>99</v>
      </c>
      <c r="G152" s="6" t="s">
        <v>46</v>
      </c>
      <c r="H152" s="3">
        <v>682.31</v>
      </c>
      <c r="I152" s="3">
        <v>9</v>
      </c>
      <c r="J152" s="3">
        <f t="shared" si="2"/>
        <v>75.812222222222218</v>
      </c>
      <c r="K152" s="3">
        <v>1</v>
      </c>
      <c r="L152" s="3">
        <v>13</v>
      </c>
    </row>
    <row r="153" spans="1:12" x14ac:dyDescent="0.3">
      <c r="A153" s="5">
        <v>152</v>
      </c>
      <c r="B153" s="6" t="s">
        <v>261</v>
      </c>
      <c r="C153" s="4">
        <v>64</v>
      </c>
      <c r="D153" s="6" t="s">
        <v>53</v>
      </c>
      <c r="E153" s="6" t="s">
        <v>39</v>
      </c>
      <c r="F153" s="10">
        <v>45270</v>
      </c>
      <c r="G153" s="6" t="s">
        <v>51</v>
      </c>
      <c r="H153" s="3">
        <v>791.28</v>
      </c>
      <c r="I153" s="3">
        <v>6</v>
      </c>
      <c r="J153" s="3">
        <f t="shared" si="2"/>
        <v>131.88</v>
      </c>
      <c r="K153" s="3">
        <v>1</v>
      </c>
      <c r="L153" s="3">
        <v>11</v>
      </c>
    </row>
    <row r="154" spans="1:12" x14ac:dyDescent="0.3">
      <c r="A154" s="5">
        <v>153</v>
      </c>
      <c r="B154" s="6" t="s">
        <v>176</v>
      </c>
      <c r="C154" s="4">
        <v>31</v>
      </c>
      <c r="D154" s="6" t="s">
        <v>38</v>
      </c>
      <c r="E154" s="6" t="s">
        <v>48</v>
      </c>
      <c r="F154" s="10">
        <v>45161</v>
      </c>
      <c r="G154" s="6" t="s">
        <v>40</v>
      </c>
      <c r="H154" s="3">
        <v>503.46</v>
      </c>
      <c r="I154" s="3">
        <v>2</v>
      </c>
      <c r="J154" s="3">
        <f t="shared" si="2"/>
        <v>251.73</v>
      </c>
      <c r="K154" s="3">
        <v>1</v>
      </c>
      <c r="L154" s="3">
        <v>10</v>
      </c>
    </row>
    <row r="155" spans="1:12" x14ac:dyDescent="0.3">
      <c r="A155" s="5">
        <v>154</v>
      </c>
      <c r="B155" s="6" t="s">
        <v>183</v>
      </c>
      <c r="C155" s="4">
        <v>20</v>
      </c>
      <c r="D155" s="6" t="s">
        <v>38</v>
      </c>
      <c r="E155" s="6" t="s">
        <v>57</v>
      </c>
      <c r="F155" s="10">
        <v>44964</v>
      </c>
      <c r="G155" s="6" t="s">
        <v>51</v>
      </c>
      <c r="H155" s="3">
        <v>96.05</v>
      </c>
      <c r="I155" s="3">
        <v>7</v>
      </c>
      <c r="J155" s="3">
        <f t="shared" si="2"/>
        <v>13.721428571428572</v>
      </c>
      <c r="K155" s="3">
        <v>1</v>
      </c>
      <c r="L155" s="3">
        <v>7.9588235294117649</v>
      </c>
    </row>
    <row r="156" spans="1:12" x14ac:dyDescent="0.3">
      <c r="A156" s="5">
        <v>155</v>
      </c>
      <c r="B156" s="6" t="s">
        <v>197</v>
      </c>
      <c r="C156" s="4">
        <v>18</v>
      </c>
      <c r="D156" s="6" t="s">
        <v>38</v>
      </c>
      <c r="E156" s="6" t="s">
        <v>45</v>
      </c>
      <c r="F156" s="10">
        <v>45161</v>
      </c>
      <c r="G156" s="6" t="s">
        <v>51</v>
      </c>
      <c r="H156" s="3">
        <v>654.16747058823523</v>
      </c>
      <c r="I156" s="3">
        <v>2</v>
      </c>
      <c r="J156" s="3">
        <f t="shared" si="2"/>
        <v>327.08373529411762</v>
      </c>
      <c r="K156" s="3">
        <v>5</v>
      </c>
      <c r="L156" s="3">
        <v>2</v>
      </c>
    </row>
    <row r="157" spans="1:12" x14ac:dyDescent="0.3">
      <c r="A157" s="5">
        <v>156</v>
      </c>
      <c r="B157" s="6" t="s">
        <v>50</v>
      </c>
      <c r="C157" s="4">
        <v>22</v>
      </c>
      <c r="D157" s="6" t="s">
        <v>38</v>
      </c>
      <c r="E157" s="6" t="s">
        <v>42</v>
      </c>
      <c r="F157" s="10">
        <v>45109</v>
      </c>
      <c r="G157" s="6" t="s">
        <v>51</v>
      </c>
      <c r="H157" s="3">
        <v>590.97</v>
      </c>
      <c r="I157" s="3">
        <v>2</v>
      </c>
      <c r="J157" s="3">
        <f t="shared" si="2"/>
        <v>295.48500000000001</v>
      </c>
      <c r="K157" s="3">
        <v>3</v>
      </c>
      <c r="L157" s="3">
        <v>2</v>
      </c>
    </row>
    <row r="158" spans="1:12" x14ac:dyDescent="0.3">
      <c r="A158" s="5">
        <v>157</v>
      </c>
      <c r="B158" s="6" t="s">
        <v>104</v>
      </c>
      <c r="C158" s="4">
        <v>43</v>
      </c>
      <c r="D158" s="6" t="s">
        <v>304</v>
      </c>
      <c r="E158" s="6" t="s">
        <v>42</v>
      </c>
      <c r="F158" s="10">
        <v>45186</v>
      </c>
      <c r="G158" s="6" t="s">
        <v>46</v>
      </c>
      <c r="H158" s="3">
        <v>747.99</v>
      </c>
      <c r="I158" s="3">
        <v>1</v>
      </c>
      <c r="J158" s="3">
        <f t="shared" si="2"/>
        <v>747.99</v>
      </c>
      <c r="K158" s="3">
        <v>2</v>
      </c>
      <c r="L158" s="3">
        <v>14</v>
      </c>
    </row>
    <row r="159" spans="1:12" x14ac:dyDescent="0.3">
      <c r="A159" s="5">
        <v>158</v>
      </c>
      <c r="B159" s="6" t="s">
        <v>254</v>
      </c>
      <c r="C159" s="4">
        <v>72</v>
      </c>
      <c r="D159" s="6" t="s">
        <v>38</v>
      </c>
      <c r="E159" s="6" t="s">
        <v>42</v>
      </c>
      <c r="F159" s="10">
        <v>44994</v>
      </c>
      <c r="G159" s="6" t="s">
        <v>51</v>
      </c>
      <c r="H159" s="3">
        <v>437.34</v>
      </c>
      <c r="I159" s="3">
        <v>3</v>
      </c>
      <c r="J159" s="3">
        <f t="shared" si="2"/>
        <v>145.78</v>
      </c>
      <c r="K159" s="3">
        <v>1</v>
      </c>
      <c r="L159" s="3">
        <v>7.9588235294117649</v>
      </c>
    </row>
    <row r="160" spans="1:12" x14ac:dyDescent="0.3">
      <c r="A160" s="5">
        <v>159</v>
      </c>
      <c r="B160" s="6" t="s">
        <v>196</v>
      </c>
      <c r="C160" s="4">
        <v>31</v>
      </c>
      <c r="D160" s="6" t="s">
        <v>38</v>
      </c>
      <c r="E160" s="6" t="s">
        <v>48</v>
      </c>
      <c r="F160" s="10">
        <v>45048</v>
      </c>
      <c r="G160" s="6" t="s">
        <v>46</v>
      </c>
      <c r="H160" s="3">
        <v>654.16747058823523</v>
      </c>
      <c r="I160" s="3">
        <v>6</v>
      </c>
      <c r="J160" s="3">
        <f t="shared" si="2"/>
        <v>109.02791176470588</v>
      </c>
      <c r="K160" s="3">
        <v>3</v>
      </c>
      <c r="L160" s="3">
        <v>8</v>
      </c>
    </row>
    <row r="161" spans="1:12" x14ac:dyDescent="0.3">
      <c r="A161" s="5">
        <v>160</v>
      </c>
      <c r="B161" s="6" t="s">
        <v>95</v>
      </c>
      <c r="C161" s="4">
        <v>43.5</v>
      </c>
      <c r="D161" s="6" t="s">
        <v>38</v>
      </c>
      <c r="E161" s="6" t="s">
        <v>57</v>
      </c>
      <c r="F161" s="10">
        <v>45116</v>
      </c>
      <c r="G161" s="6" t="s">
        <v>46</v>
      </c>
      <c r="H161" s="3">
        <v>290.94</v>
      </c>
      <c r="I161" s="3">
        <v>8</v>
      </c>
      <c r="J161" s="3">
        <f t="shared" si="2"/>
        <v>36.3675</v>
      </c>
      <c r="K161" s="3">
        <v>3</v>
      </c>
      <c r="L161" s="3">
        <v>3</v>
      </c>
    </row>
    <row r="162" spans="1:12" x14ac:dyDescent="0.3">
      <c r="A162" s="5">
        <v>161</v>
      </c>
      <c r="B162" s="6" t="s">
        <v>171</v>
      </c>
      <c r="C162" s="4">
        <v>43.5</v>
      </c>
      <c r="D162" s="6" t="s">
        <v>38</v>
      </c>
      <c r="E162" s="6" t="s">
        <v>39</v>
      </c>
      <c r="F162" s="10">
        <v>45007</v>
      </c>
      <c r="G162" s="6" t="s">
        <v>40</v>
      </c>
      <c r="H162" s="3">
        <v>369.45</v>
      </c>
      <c r="I162" s="3">
        <v>9</v>
      </c>
      <c r="J162" s="3">
        <f t="shared" si="2"/>
        <v>41.05</v>
      </c>
      <c r="K162" s="3">
        <v>2</v>
      </c>
      <c r="L162" s="3">
        <v>3</v>
      </c>
    </row>
    <row r="163" spans="1:12" x14ac:dyDescent="0.3">
      <c r="A163" s="5">
        <v>162</v>
      </c>
      <c r="B163" s="6" t="s">
        <v>203</v>
      </c>
      <c r="C163" s="4">
        <v>26</v>
      </c>
      <c r="D163" s="6" t="s">
        <v>38</v>
      </c>
      <c r="E163" s="6" t="s">
        <v>39</v>
      </c>
      <c r="F163" s="10">
        <v>45205</v>
      </c>
      <c r="G163" s="6" t="s">
        <v>51</v>
      </c>
      <c r="H163" s="3">
        <v>654.16747058823523</v>
      </c>
      <c r="I163" s="3">
        <v>7</v>
      </c>
      <c r="J163" s="3">
        <f t="shared" si="2"/>
        <v>93.452495798319319</v>
      </c>
      <c r="K163" s="3">
        <v>5</v>
      </c>
      <c r="L163" s="3">
        <v>6</v>
      </c>
    </row>
    <row r="164" spans="1:12" x14ac:dyDescent="0.3">
      <c r="A164" s="5">
        <v>163</v>
      </c>
      <c r="B164" s="6" t="s">
        <v>97</v>
      </c>
      <c r="C164" s="4">
        <v>32</v>
      </c>
      <c r="D164" s="6" t="s">
        <v>38</v>
      </c>
      <c r="E164" s="6" t="s">
        <v>42</v>
      </c>
      <c r="F164" s="10">
        <v>45240</v>
      </c>
      <c r="G164" s="6" t="s">
        <v>51</v>
      </c>
      <c r="H164" s="3">
        <v>575.07000000000005</v>
      </c>
      <c r="I164" s="3">
        <v>4</v>
      </c>
      <c r="J164" s="3">
        <f t="shared" si="2"/>
        <v>143.76750000000001</v>
      </c>
      <c r="K164" s="3">
        <v>4</v>
      </c>
      <c r="L164" s="3">
        <v>13</v>
      </c>
    </row>
    <row r="165" spans="1:12" x14ac:dyDescent="0.3">
      <c r="A165" s="5">
        <v>164</v>
      </c>
      <c r="B165" s="6" t="s">
        <v>189</v>
      </c>
      <c r="C165" s="4">
        <v>32</v>
      </c>
      <c r="D165" s="6" t="s">
        <v>38</v>
      </c>
      <c r="E165" s="6" t="s">
        <v>48</v>
      </c>
      <c r="F165" s="10">
        <v>45268</v>
      </c>
      <c r="G165" s="6" t="s">
        <v>51</v>
      </c>
      <c r="H165" s="3">
        <v>362.54</v>
      </c>
      <c r="I165" s="3">
        <v>6</v>
      </c>
      <c r="J165" s="3">
        <f t="shared" si="2"/>
        <v>60.423333333333339</v>
      </c>
      <c r="K165" s="3">
        <v>4</v>
      </c>
      <c r="L165" s="3">
        <v>8</v>
      </c>
    </row>
    <row r="166" spans="1:12" x14ac:dyDescent="0.3">
      <c r="A166" s="5">
        <v>165</v>
      </c>
      <c r="B166" s="6" t="s">
        <v>212</v>
      </c>
      <c r="C166" s="4">
        <v>43</v>
      </c>
      <c r="D166" s="6" t="s">
        <v>304</v>
      </c>
      <c r="E166" s="6" t="s">
        <v>45</v>
      </c>
      <c r="F166" s="10">
        <v>45266</v>
      </c>
      <c r="G166" s="6" t="s">
        <v>51</v>
      </c>
      <c r="H166" s="3">
        <v>986.65</v>
      </c>
      <c r="I166" s="3">
        <v>5</v>
      </c>
      <c r="J166" s="3">
        <f t="shared" si="2"/>
        <v>197.32999999999998</v>
      </c>
      <c r="K166" s="3">
        <v>3</v>
      </c>
      <c r="L166" s="3">
        <v>13</v>
      </c>
    </row>
    <row r="167" spans="1:12" x14ac:dyDescent="0.3">
      <c r="A167" s="5">
        <v>166</v>
      </c>
      <c r="B167" s="6" t="s">
        <v>66</v>
      </c>
      <c r="C167" s="4">
        <v>59</v>
      </c>
      <c r="D167" s="6" t="s">
        <v>53</v>
      </c>
      <c r="E167" s="6" t="s">
        <v>39</v>
      </c>
      <c r="F167" s="10">
        <v>44995</v>
      </c>
      <c r="G167" s="6" t="s">
        <v>46</v>
      </c>
      <c r="H167" s="3">
        <v>609.72</v>
      </c>
      <c r="I167" s="3">
        <v>8</v>
      </c>
      <c r="J167" s="3">
        <f t="shared" si="2"/>
        <v>76.215000000000003</v>
      </c>
      <c r="K167" s="3">
        <v>0</v>
      </c>
      <c r="L167" s="3">
        <v>9</v>
      </c>
    </row>
    <row r="168" spans="1:12" x14ac:dyDescent="0.3">
      <c r="A168" s="5">
        <v>167</v>
      </c>
      <c r="B168" s="6" t="s">
        <v>232</v>
      </c>
      <c r="C168" s="4">
        <v>30</v>
      </c>
      <c r="D168" s="6" t="s">
        <v>304</v>
      </c>
      <c r="E168" s="6" t="s">
        <v>45</v>
      </c>
      <c r="F168" s="10">
        <v>44986</v>
      </c>
      <c r="G168" s="6" t="s">
        <v>51</v>
      </c>
      <c r="H168" s="3">
        <v>244.85</v>
      </c>
      <c r="I168" s="3">
        <v>1</v>
      </c>
      <c r="J168" s="3">
        <f t="shared" si="2"/>
        <v>244.85</v>
      </c>
      <c r="K168" s="3">
        <v>4</v>
      </c>
      <c r="L168" s="3">
        <v>7.9588235294117649</v>
      </c>
    </row>
    <row r="169" spans="1:12" x14ac:dyDescent="0.3">
      <c r="A169" s="5">
        <v>168</v>
      </c>
      <c r="B169" s="6" t="s">
        <v>168</v>
      </c>
      <c r="C169" s="4">
        <v>68</v>
      </c>
      <c r="D169" s="6" t="s">
        <v>38</v>
      </c>
      <c r="E169" s="6" t="s">
        <v>57</v>
      </c>
      <c r="F169" s="10">
        <v>45240</v>
      </c>
      <c r="G169" s="6" t="s">
        <v>43</v>
      </c>
      <c r="H169" s="3">
        <v>110.76</v>
      </c>
      <c r="I169" s="3">
        <v>1</v>
      </c>
      <c r="J169" s="3">
        <f t="shared" si="2"/>
        <v>110.76</v>
      </c>
      <c r="K169" s="3">
        <v>3</v>
      </c>
      <c r="L169" s="3">
        <v>4</v>
      </c>
    </row>
    <row r="170" spans="1:12" x14ac:dyDescent="0.3">
      <c r="A170" s="5">
        <v>169</v>
      </c>
      <c r="B170" s="6" t="s">
        <v>68</v>
      </c>
      <c r="C170" s="4">
        <v>49</v>
      </c>
      <c r="D170" s="6" t="s">
        <v>304</v>
      </c>
      <c r="E170" s="6" t="s">
        <v>39</v>
      </c>
      <c r="F170" s="10">
        <v>45066</v>
      </c>
      <c r="G170" s="6" t="s">
        <v>40</v>
      </c>
      <c r="H170" s="3">
        <v>161.33000000000001</v>
      </c>
      <c r="I170" s="3">
        <v>6</v>
      </c>
      <c r="J170" s="3">
        <f t="shared" si="2"/>
        <v>26.888333333333335</v>
      </c>
      <c r="K170" s="3">
        <v>5</v>
      </c>
      <c r="L170" s="3">
        <v>14</v>
      </c>
    </row>
    <row r="171" spans="1:12" x14ac:dyDescent="0.3">
      <c r="A171" s="5">
        <v>170</v>
      </c>
      <c r="B171" s="6" t="s">
        <v>245</v>
      </c>
      <c r="C171" s="4">
        <v>56</v>
      </c>
      <c r="D171" s="6" t="s">
        <v>53</v>
      </c>
      <c r="E171" s="6" t="s">
        <v>39</v>
      </c>
      <c r="F171" s="10">
        <v>45088</v>
      </c>
      <c r="G171" s="6" t="s">
        <v>51</v>
      </c>
      <c r="H171" s="3">
        <v>253.5</v>
      </c>
      <c r="I171" s="3">
        <v>2</v>
      </c>
      <c r="J171" s="3">
        <f t="shared" si="2"/>
        <v>126.75</v>
      </c>
      <c r="K171" s="3">
        <v>4</v>
      </c>
      <c r="L171" s="3">
        <v>5</v>
      </c>
    </row>
    <row r="172" spans="1:12" x14ac:dyDescent="0.3">
      <c r="A172" s="5">
        <v>171</v>
      </c>
      <c r="B172" s="6" t="s">
        <v>139</v>
      </c>
      <c r="C172" s="4">
        <v>66</v>
      </c>
      <c r="D172" s="6" t="s">
        <v>38</v>
      </c>
      <c r="E172" s="6" t="s">
        <v>57</v>
      </c>
      <c r="F172" s="10" t="s">
        <v>140</v>
      </c>
      <c r="G172" s="6" t="s">
        <v>40</v>
      </c>
      <c r="H172" s="3">
        <v>169.07</v>
      </c>
      <c r="I172" s="3">
        <v>5</v>
      </c>
      <c r="J172" s="3">
        <f t="shared" si="2"/>
        <v>33.814</v>
      </c>
      <c r="K172" s="3">
        <v>0</v>
      </c>
      <c r="L172" s="3">
        <v>2</v>
      </c>
    </row>
    <row r="173" spans="1:12" x14ac:dyDescent="0.3">
      <c r="A173" s="5">
        <v>172</v>
      </c>
      <c r="B173" s="6" t="s">
        <v>170</v>
      </c>
      <c r="C173" s="4">
        <v>69</v>
      </c>
      <c r="D173" s="6" t="s">
        <v>38</v>
      </c>
      <c r="E173" s="6" t="s">
        <v>39</v>
      </c>
      <c r="F173" s="10">
        <v>45278</v>
      </c>
      <c r="G173" s="6" t="s">
        <v>43</v>
      </c>
      <c r="H173" s="3">
        <v>194.7</v>
      </c>
      <c r="I173" s="3">
        <v>1</v>
      </c>
      <c r="J173" s="3">
        <f t="shared" si="2"/>
        <v>194.7</v>
      </c>
      <c r="K173" s="3">
        <v>0</v>
      </c>
      <c r="L173" s="3">
        <v>11</v>
      </c>
    </row>
    <row r="174" spans="1:12" x14ac:dyDescent="0.3">
      <c r="A174" s="5">
        <v>173</v>
      </c>
      <c r="B174" s="6" t="s">
        <v>41</v>
      </c>
      <c r="C174" s="4">
        <v>43.5</v>
      </c>
      <c r="D174" s="6" t="s">
        <v>53</v>
      </c>
      <c r="E174" s="6" t="s">
        <v>42</v>
      </c>
      <c r="F174" s="10">
        <v>45185</v>
      </c>
      <c r="G174" s="6" t="s">
        <v>43</v>
      </c>
      <c r="H174" s="3">
        <v>292.24</v>
      </c>
      <c r="I174" s="3">
        <v>7</v>
      </c>
      <c r="J174" s="3">
        <f t="shared" si="2"/>
        <v>41.748571428571431</v>
      </c>
      <c r="K174" s="3">
        <v>1</v>
      </c>
      <c r="L174" s="3">
        <v>9</v>
      </c>
    </row>
    <row r="175" spans="1:12" x14ac:dyDescent="0.3">
      <c r="A175" s="5">
        <v>174</v>
      </c>
      <c r="B175" s="6" t="s">
        <v>82</v>
      </c>
      <c r="C175" s="4">
        <v>21</v>
      </c>
      <c r="D175" s="6" t="s">
        <v>38</v>
      </c>
      <c r="E175" s="6" t="s">
        <v>48</v>
      </c>
      <c r="F175" s="10">
        <v>45055</v>
      </c>
      <c r="G175" s="6" t="s">
        <v>40</v>
      </c>
      <c r="H175" s="3">
        <v>181.64</v>
      </c>
      <c r="I175" s="3">
        <v>1</v>
      </c>
      <c r="J175" s="3">
        <f t="shared" si="2"/>
        <v>181.64</v>
      </c>
      <c r="K175" s="3">
        <v>5</v>
      </c>
      <c r="L175" s="3">
        <v>8</v>
      </c>
    </row>
    <row r="176" spans="1:12" x14ac:dyDescent="0.3">
      <c r="A176" s="5">
        <v>175</v>
      </c>
      <c r="B176" s="6" t="s">
        <v>244</v>
      </c>
      <c r="C176" s="4">
        <v>47</v>
      </c>
      <c r="D176" s="6" t="s">
        <v>38</v>
      </c>
      <c r="E176" s="6" t="s">
        <v>48</v>
      </c>
      <c r="F176" s="10">
        <v>44974</v>
      </c>
      <c r="G176" s="6" t="s">
        <v>51</v>
      </c>
      <c r="H176" s="3">
        <v>897.8</v>
      </c>
      <c r="I176" s="3">
        <v>4</v>
      </c>
      <c r="J176" s="3">
        <f t="shared" si="2"/>
        <v>224.45</v>
      </c>
      <c r="K176" s="3">
        <v>1</v>
      </c>
      <c r="L176" s="3">
        <v>3</v>
      </c>
    </row>
    <row r="177" spans="1:12" x14ac:dyDescent="0.3">
      <c r="A177" s="5">
        <v>176</v>
      </c>
      <c r="B177" s="6" t="s">
        <v>237</v>
      </c>
      <c r="C177" s="4">
        <v>54</v>
      </c>
      <c r="D177" s="6" t="s">
        <v>53</v>
      </c>
      <c r="E177" s="6" t="s">
        <v>45</v>
      </c>
      <c r="F177" s="10">
        <v>45068</v>
      </c>
      <c r="G177" s="6" t="s">
        <v>46</v>
      </c>
      <c r="H177" s="3">
        <v>89.43</v>
      </c>
      <c r="I177" s="3">
        <v>9</v>
      </c>
      <c r="J177" s="3">
        <f t="shared" si="2"/>
        <v>9.9366666666666674</v>
      </c>
      <c r="K177" s="3">
        <v>2</v>
      </c>
      <c r="L177" s="3">
        <v>11</v>
      </c>
    </row>
    <row r="178" spans="1:12" x14ac:dyDescent="0.3">
      <c r="A178" s="5">
        <v>177</v>
      </c>
      <c r="B178" s="6" t="s">
        <v>184</v>
      </c>
      <c r="C178" s="4">
        <v>40</v>
      </c>
      <c r="D178" s="6" t="s">
        <v>38</v>
      </c>
      <c r="E178" s="6" t="s">
        <v>57</v>
      </c>
      <c r="F178" s="10">
        <v>44928</v>
      </c>
      <c r="G178" s="6" t="s">
        <v>51</v>
      </c>
      <c r="H178" s="3">
        <v>529.27</v>
      </c>
      <c r="I178" s="3">
        <v>1</v>
      </c>
      <c r="J178" s="3">
        <f t="shared" si="2"/>
        <v>529.27</v>
      </c>
      <c r="K178" s="3">
        <v>1</v>
      </c>
      <c r="L178" s="3">
        <v>12</v>
      </c>
    </row>
    <row r="179" spans="1:12" x14ac:dyDescent="0.3">
      <c r="A179" s="5">
        <v>178</v>
      </c>
      <c r="B179" s="6" t="s">
        <v>200</v>
      </c>
      <c r="C179" s="4">
        <v>56</v>
      </c>
      <c r="D179" s="6" t="s">
        <v>38</v>
      </c>
      <c r="E179" s="6" t="s">
        <v>39</v>
      </c>
      <c r="F179" s="10">
        <v>44993</v>
      </c>
      <c r="G179" s="6" t="s">
        <v>51</v>
      </c>
      <c r="H179" s="3">
        <v>416.29</v>
      </c>
      <c r="I179" s="3">
        <v>4</v>
      </c>
      <c r="J179" s="3">
        <f t="shared" si="2"/>
        <v>104.07250000000001</v>
      </c>
      <c r="K179" s="3">
        <v>1</v>
      </c>
      <c r="L179" s="3">
        <v>13</v>
      </c>
    </row>
    <row r="180" spans="1:12" x14ac:dyDescent="0.3">
      <c r="A180" s="5">
        <v>179</v>
      </c>
      <c r="B180" s="6" t="s">
        <v>149</v>
      </c>
      <c r="C180" s="4">
        <v>43.5</v>
      </c>
      <c r="D180" s="6" t="s">
        <v>38</v>
      </c>
      <c r="E180" s="6" t="s">
        <v>42</v>
      </c>
      <c r="F180" s="10">
        <v>45009</v>
      </c>
      <c r="G180" s="6" t="s">
        <v>46</v>
      </c>
      <c r="H180" s="3">
        <v>982.55</v>
      </c>
      <c r="I180" s="3">
        <v>6</v>
      </c>
      <c r="J180" s="3">
        <f t="shared" si="2"/>
        <v>163.75833333333333</v>
      </c>
      <c r="K180" s="3">
        <v>0</v>
      </c>
      <c r="L180" s="3">
        <v>9</v>
      </c>
    </row>
    <row r="181" spans="1:12" x14ac:dyDescent="0.3">
      <c r="A181" s="5">
        <v>180</v>
      </c>
      <c r="B181" s="6" t="s">
        <v>274</v>
      </c>
      <c r="C181" s="4">
        <v>32</v>
      </c>
      <c r="D181" s="6" t="s">
        <v>53</v>
      </c>
      <c r="E181" s="6" t="s">
        <v>45</v>
      </c>
      <c r="F181" s="10">
        <v>45209</v>
      </c>
      <c r="G181" s="6" t="s">
        <v>51</v>
      </c>
      <c r="H181" s="3">
        <v>654.16747058823523</v>
      </c>
      <c r="I181" s="3">
        <v>6</v>
      </c>
      <c r="J181" s="3">
        <f t="shared" si="2"/>
        <v>109.02791176470588</v>
      </c>
      <c r="K181" s="3">
        <v>3</v>
      </c>
      <c r="L181" s="3">
        <v>3</v>
      </c>
    </row>
    <row r="182" spans="1:12" x14ac:dyDescent="0.3">
      <c r="A182" s="5">
        <v>181</v>
      </c>
      <c r="B182" s="6" t="s">
        <v>91</v>
      </c>
      <c r="C182" s="4">
        <v>60</v>
      </c>
      <c r="D182" s="6" t="s">
        <v>53</v>
      </c>
      <c r="E182" s="6" t="s">
        <v>57</v>
      </c>
      <c r="F182" s="10">
        <v>45214</v>
      </c>
      <c r="G182" s="6" t="s">
        <v>51</v>
      </c>
      <c r="H182" s="3">
        <v>403.88</v>
      </c>
      <c r="I182" s="3">
        <v>8</v>
      </c>
      <c r="J182" s="3">
        <f t="shared" si="2"/>
        <v>50.484999999999999</v>
      </c>
      <c r="K182" s="3">
        <v>5</v>
      </c>
      <c r="L182" s="3">
        <v>9</v>
      </c>
    </row>
    <row r="183" spans="1:12" x14ac:dyDescent="0.3">
      <c r="A183" s="5">
        <v>182</v>
      </c>
      <c r="B183" s="6" t="s">
        <v>229</v>
      </c>
      <c r="C183" s="4">
        <v>46</v>
      </c>
      <c r="D183" s="6" t="s">
        <v>304</v>
      </c>
      <c r="E183" s="6" t="s">
        <v>45</v>
      </c>
      <c r="F183" s="10">
        <v>44984</v>
      </c>
      <c r="G183" s="6" t="s">
        <v>46</v>
      </c>
      <c r="H183" s="3">
        <v>654.16747058823523</v>
      </c>
      <c r="I183" s="3">
        <v>1</v>
      </c>
      <c r="J183" s="3">
        <f t="shared" si="2"/>
        <v>654.16747058823523</v>
      </c>
      <c r="K183" s="3">
        <v>1</v>
      </c>
      <c r="L183" s="3">
        <v>7.9588235294117649</v>
      </c>
    </row>
    <row r="184" spans="1:12" x14ac:dyDescent="0.3">
      <c r="A184" s="5">
        <v>183</v>
      </c>
      <c r="B184" s="6" t="s">
        <v>54</v>
      </c>
      <c r="C184" s="4">
        <v>43.5</v>
      </c>
      <c r="D184" s="6" t="s">
        <v>38</v>
      </c>
      <c r="E184" s="6" t="s">
        <v>45</v>
      </c>
      <c r="F184" s="10" t="s">
        <v>55</v>
      </c>
      <c r="G184" s="6" t="s">
        <v>46</v>
      </c>
      <c r="H184" s="3">
        <v>866.85</v>
      </c>
      <c r="I184" s="3">
        <v>7</v>
      </c>
      <c r="J184" s="3">
        <f t="shared" si="2"/>
        <v>123.83571428571429</v>
      </c>
      <c r="K184" s="3">
        <v>0</v>
      </c>
      <c r="L184" s="3">
        <v>12</v>
      </c>
    </row>
    <row r="185" spans="1:12" x14ac:dyDescent="0.3">
      <c r="A185" s="5">
        <v>184</v>
      </c>
      <c r="B185" s="6" t="s">
        <v>109</v>
      </c>
      <c r="C185" s="4">
        <v>43.5</v>
      </c>
      <c r="D185" s="6" t="s">
        <v>38</v>
      </c>
      <c r="E185" s="6" t="s">
        <v>39</v>
      </c>
      <c r="F185" s="10">
        <v>45206</v>
      </c>
      <c r="G185" s="6" t="s">
        <v>43</v>
      </c>
      <c r="H185" s="3">
        <v>654.16747058823523</v>
      </c>
      <c r="I185" s="3">
        <v>1</v>
      </c>
      <c r="J185" s="3">
        <f t="shared" si="2"/>
        <v>654.16747058823523</v>
      </c>
      <c r="K185" s="3">
        <v>1</v>
      </c>
      <c r="L185" s="3">
        <v>10</v>
      </c>
    </row>
    <row r="186" spans="1:12" x14ac:dyDescent="0.3">
      <c r="A186" s="5">
        <v>185</v>
      </c>
      <c r="B186" s="6" t="s">
        <v>187</v>
      </c>
      <c r="C186" s="4">
        <v>49</v>
      </c>
      <c r="D186" s="6" t="s">
        <v>38</v>
      </c>
      <c r="E186" s="6" t="s">
        <v>57</v>
      </c>
      <c r="F186" s="10">
        <v>45176</v>
      </c>
      <c r="G186" s="6" t="s">
        <v>51</v>
      </c>
      <c r="H186" s="3">
        <v>265.32</v>
      </c>
      <c r="I186" s="3">
        <v>7</v>
      </c>
      <c r="J186" s="3">
        <f t="shared" si="2"/>
        <v>37.902857142857144</v>
      </c>
      <c r="K186" s="3">
        <v>0</v>
      </c>
      <c r="L186" s="3">
        <v>9</v>
      </c>
    </row>
    <row r="187" spans="1:12" x14ac:dyDescent="0.3">
      <c r="A187" s="5">
        <v>186</v>
      </c>
      <c r="B187" s="6" t="s">
        <v>235</v>
      </c>
      <c r="C187" s="4">
        <v>24</v>
      </c>
      <c r="D187" s="6" t="s">
        <v>304</v>
      </c>
      <c r="E187" s="6" t="s">
        <v>45</v>
      </c>
      <c r="F187" s="10">
        <v>45177</v>
      </c>
      <c r="G187" s="6" t="s">
        <v>43</v>
      </c>
      <c r="H187" s="3">
        <v>179.18</v>
      </c>
      <c r="I187" s="3">
        <v>3</v>
      </c>
      <c r="J187" s="3">
        <f t="shared" si="2"/>
        <v>59.726666666666667</v>
      </c>
      <c r="K187" s="3">
        <v>1</v>
      </c>
      <c r="L187" s="3">
        <v>8</v>
      </c>
    </row>
    <row r="188" spans="1:12" x14ac:dyDescent="0.3">
      <c r="A188" s="5">
        <v>187</v>
      </c>
      <c r="B188" s="6" t="s">
        <v>221</v>
      </c>
      <c r="C188" s="4">
        <v>68</v>
      </c>
      <c r="D188" s="6" t="s">
        <v>38</v>
      </c>
      <c r="E188" s="6" t="s">
        <v>42</v>
      </c>
      <c r="F188" s="10">
        <v>44948</v>
      </c>
      <c r="G188" s="6" t="s">
        <v>40</v>
      </c>
      <c r="H188" s="3">
        <v>654.16747058823523</v>
      </c>
      <c r="I188" s="3">
        <v>8</v>
      </c>
      <c r="J188" s="3">
        <f t="shared" si="2"/>
        <v>81.770933823529404</v>
      </c>
      <c r="K188" s="3">
        <v>0</v>
      </c>
      <c r="L188" s="3">
        <v>9</v>
      </c>
    </row>
    <row r="189" spans="1:12" x14ac:dyDescent="0.3">
      <c r="A189" s="5">
        <v>188</v>
      </c>
      <c r="B189" s="6" t="s">
        <v>61</v>
      </c>
      <c r="C189" s="4">
        <v>39</v>
      </c>
      <c r="D189" s="6" t="s">
        <v>53</v>
      </c>
      <c r="E189" s="6" t="s">
        <v>42</v>
      </c>
      <c r="F189" s="10">
        <v>45113</v>
      </c>
      <c r="G189" s="6" t="s">
        <v>46</v>
      </c>
      <c r="H189" s="3">
        <v>654.16747058823523</v>
      </c>
      <c r="I189" s="3">
        <v>3</v>
      </c>
      <c r="J189" s="3">
        <f t="shared" si="2"/>
        <v>218.05582352941175</v>
      </c>
      <c r="K189" s="3">
        <v>3</v>
      </c>
      <c r="L189" s="3">
        <v>5</v>
      </c>
    </row>
    <row r="190" spans="1:12" x14ac:dyDescent="0.3">
      <c r="A190" s="5">
        <v>189</v>
      </c>
      <c r="B190" s="6" t="s">
        <v>269</v>
      </c>
      <c r="C190" s="4">
        <v>45</v>
      </c>
      <c r="D190" s="6" t="s">
        <v>38</v>
      </c>
      <c r="E190" s="6" t="s">
        <v>48</v>
      </c>
      <c r="F190" s="10">
        <v>44992</v>
      </c>
      <c r="G190" s="6" t="s">
        <v>46</v>
      </c>
      <c r="H190" s="3">
        <v>561.20000000000005</v>
      </c>
      <c r="I190" s="3">
        <v>1</v>
      </c>
      <c r="J190" s="3">
        <f t="shared" si="2"/>
        <v>561.20000000000005</v>
      </c>
      <c r="K190" s="3">
        <v>2</v>
      </c>
      <c r="L190" s="3">
        <v>11</v>
      </c>
    </row>
    <row r="191" spans="1:12" x14ac:dyDescent="0.3">
      <c r="A191" s="5">
        <v>190</v>
      </c>
      <c r="B191" s="6" t="s">
        <v>185</v>
      </c>
      <c r="C191" s="4">
        <v>19</v>
      </c>
      <c r="D191" s="6" t="s">
        <v>38</v>
      </c>
      <c r="E191" s="6" t="s">
        <v>57</v>
      </c>
      <c r="F191" s="10" t="s">
        <v>186</v>
      </c>
      <c r="G191" s="6" t="s">
        <v>40</v>
      </c>
      <c r="H191" s="3">
        <v>575.9</v>
      </c>
      <c r="I191" s="3">
        <v>8</v>
      </c>
      <c r="J191" s="3">
        <f t="shared" si="2"/>
        <v>71.987499999999997</v>
      </c>
      <c r="K191" s="3">
        <v>1</v>
      </c>
      <c r="L191" s="3">
        <v>11</v>
      </c>
    </row>
    <row r="192" spans="1:12" x14ac:dyDescent="0.3">
      <c r="A192" s="5">
        <v>191</v>
      </c>
      <c r="B192" s="6" t="s">
        <v>211</v>
      </c>
      <c r="C192" s="4">
        <v>59</v>
      </c>
      <c r="D192" s="6" t="s">
        <v>38</v>
      </c>
      <c r="E192" s="6" t="s">
        <v>57</v>
      </c>
      <c r="F192" s="10">
        <v>45268</v>
      </c>
      <c r="G192" s="6" t="s">
        <v>40</v>
      </c>
      <c r="H192" s="3">
        <v>287.18</v>
      </c>
      <c r="I192" s="3">
        <v>3</v>
      </c>
      <c r="J192" s="3">
        <f t="shared" si="2"/>
        <v>95.726666666666674</v>
      </c>
      <c r="K192" s="3">
        <v>0</v>
      </c>
      <c r="L192" s="3">
        <v>7.9588235294117649</v>
      </c>
    </row>
    <row r="193" spans="1:12" x14ac:dyDescent="0.3">
      <c r="A193" s="5">
        <v>192</v>
      </c>
      <c r="B193" s="6" t="s">
        <v>222</v>
      </c>
      <c r="C193" s="4">
        <v>62</v>
      </c>
      <c r="D193" s="6" t="s">
        <v>38</v>
      </c>
      <c r="E193" s="6" t="s">
        <v>48</v>
      </c>
      <c r="F193" s="10">
        <v>45108</v>
      </c>
      <c r="G193" s="6" t="s">
        <v>51</v>
      </c>
      <c r="H193" s="3">
        <v>771.8</v>
      </c>
      <c r="I193" s="3">
        <v>2</v>
      </c>
      <c r="J193" s="3">
        <f t="shared" si="2"/>
        <v>385.9</v>
      </c>
      <c r="K193" s="3">
        <v>2</v>
      </c>
      <c r="L193" s="3">
        <v>7.9588235294117649</v>
      </c>
    </row>
    <row r="194" spans="1:12" x14ac:dyDescent="0.3">
      <c r="A194" s="5">
        <v>193</v>
      </c>
      <c r="B194" s="6" t="s">
        <v>83</v>
      </c>
      <c r="C194" s="4">
        <v>74</v>
      </c>
      <c r="D194" s="6" t="s">
        <v>38</v>
      </c>
      <c r="E194" s="6" t="s">
        <v>45</v>
      </c>
      <c r="F194" s="10" t="s">
        <v>84</v>
      </c>
      <c r="G194" s="6" t="s">
        <v>46</v>
      </c>
      <c r="H194" s="3">
        <v>195.17</v>
      </c>
      <c r="I194" s="3">
        <v>1</v>
      </c>
      <c r="J194" s="3">
        <f t="shared" si="2"/>
        <v>195.17</v>
      </c>
      <c r="K194" s="3">
        <v>2</v>
      </c>
      <c r="L194" s="3">
        <v>12</v>
      </c>
    </row>
    <row r="195" spans="1:12" x14ac:dyDescent="0.3">
      <c r="A195" s="5">
        <v>194</v>
      </c>
      <c r="B195" s="6" t="s">
        <v>238</v>
      </c>
      <c r="C195" s="4">
        <v>70</v>
      </c>
      <c r="D195" s="6" t="s">
        <v>304</v>
      </c>
      <c r="E195" s="6" t="s">
        <v>57</v>
      </c>
      <c r="F195" s="10">
        <v>44962</v>
      </c>
      <c r="G195" s="6" t="s">
        <v>40</v>
      </c>
      <c r="H195" s="3">
        <v>330.44</v>
      </c>
      <c r="I195" s="3">
        <v>3</v>
      </c>
      <c r="J195" s="3">
        <f t="shared" ref="J195:J201" si="3">H195/I195</f>
        <v>110.14666666666666</v>
      </c>
      <c r="K195" s="3">
        <v>1</v>
      </c>
      <c r="L195" s="3">
        <v>7.9588235294117649</v>
      </c>
    </row>
    <row r="196" spans="1:12" x14ac:dyDescent="0.3">
      <c r="A196" s="5">
        <v>195</v>
      </c>
      <c r="B196" s="6" t="s">
        <v>178</v>
      </c>
      <c r="C196" s="4">
        <v>43.5</v>
      </c>
      <c r="D196" s="6" t="s">
        <v>38</v>
      </c>
      <c r="E196" s="6" t="s">
        <v>42</v>
      </c>
      <c r="F196" s="10">
        <v>45017</v>
      </c>
      <c r="G196" s="6" t="s">
        <v>40</v>
      </c>
      <c r="H196" s="3">
        <v>8596.77</v>
      </c>
      <c r="I196" s="3">
        <v>2</v>
      </c>
      <c r="J196" s="3">
        <f t="shared" si="3"/>
        <v>4298.3850000000002</v>
      </c>
      <c r="K196" s="3">
        <v>2</v>
      </c>
      <c r="L196" s="3">
        <v>8</v>
      </c>
    </row>
    <row r="197" spans="1:12" x14ac:dyDescent="0.3">
      <c r="A197" s="5">
        <v>196</v>
      </c>
      <c r="B197" s="6" t="s">
        <v>213</v>
      </c>
      <c r="C197" s="4">
        <v>45</v>
      </c>
      <c r="D197" s="6" t="s">
        <v>53</v>
      </c>
      <c r="E197" s="6" t="s">
        <v>42</v>
      </c>
      <c r="F197" s="10" t="s">
        <v>214</v>
      </c>
      <c r="G197" s="6" t="s">
        <v>46</v>
      </c>
      <c r="H197" s="3">
        <v>512.53</v>
      </c>
      <c r="I197" s="3">
        <v>2</v>
      </c>
      <c r="J197" s="3">
        <f t="shared" si="3"/>
        <v>256.26499999999999</v>
      </c>
      <c r="K197" s="3">
        <v>5</v>
      </c>
      <c r="L197" s="3">
        <v>11</v>
      </c>
    </row>
    <row r="198" spans="1:12" x14ac:dyDescent="0.3">
      <c r="A198" s="5">
        <v>197</v>
      </c>
      <c r="B198" s="6" t="s">
        <v>59</v>
      </c>
      <c r="C198" s="4">
        <v>43.5</v>
      </c>
      <c r="D198" s="6" t="s">
        <v>38</v>
      </c>
      <c r="E198" s="6" t="s">
        <v>39</v>
      </c>
      <c r="F198" s="10">
        <v>45097</v>
      </c>
      <c r="G198" s="6" t="s">
        <v>46</v>
      </c>
      <c r="H198" s="3">
        <v>249.99</v>
      </c>
      <c r="I198" s="3">
        <v>6</v>
      </c>
      <c r="J198" s="3">
        <f t="shared" si="3"/>
        <v>41.664999999999999</v>
      </c>
      <c r="K198" s="3">
        <v>2</v>
      </c>
      <c r="L198" s="3">
        <v>5</v>
      </c>
    </row>
    <row r="199" spans="1:12" x14ac:dyDescent="0.3">
      <c r="A199" s="5">
        <v>198</v>
      </c>
      <c r="B199" s="6" t="s">
        <v>96</v>
      </c>
      <c r="C199" s="4">
        <v>43.5</v>
      </c>
      <c r="D199" s="6" t="s">
        <v>304</v>
      </c>
      <c r="E199" s="6" t="s">
        <v>57</v>
      </c>
      <c r="F199" s="10">
        <v>45181</v>
      </c>
      <c r="G199" s="6" t="s">
        <v>40</v>
      </c>
      <c r="H199" s="3">
        <v>123.69</v>
      </c>
      <c r="I199" s="3">
        <v>1</v>
      </c>
      <c r="J199" s="3">
        <f t="shared" si="3"/>
        <v>123.69</v>
      </c>
      <c r="K199" s="3">
        <v>5</v>
      </c>
      <c r="L199" s="3">
        <v>10</v>
      </c>
    </row>
    <row r="200" spans="1:12" x14ac:dyDescent="0.3">
      <c r="A200" s="5">
        <v>199</v>
      </c>
      <c r="B200" s="6" t="s">
        <v>255</v>
      </c>
      <c r="C200" s="4">
        <v>61</v>
      </c>
      <c r="D200" s="6" t="s">
        <v>38</v>
      </c>
      <c r="E200" s="6" t="s">
        <v>45</v>
      </c>
      <c r="F200" s="10" t="s">
        <v>256</v>
      </c>
      <c r="G200" s="6" t="s">
        <v>46</v>
      </c>
      <c r="H200" s="3">
        <v>614.51</v>
      </c>
      <c r="I200" s="3">
        <v>2</v>
      </c>
      <c r="J200" s="3">
        <f t="shared" si="3"/>
        <v>307.255</v>
      </c>
      <c r="K200" s="3">
        <v>1</v>
      </c>
      <c r="L200" s="3">
        <v>2</v>
      </c>
    </row>
    <row r="201" spans="1:12" x14ac:dyDescent="0.3">
      <c r="A201" s="5">
        <v>200</v>
      </c>
      <c r="B201" s="6" t="s">
        <v>47</v>
      </c>
      <c r="C201" s="4">
        <v>37</v>
      </c>
      <c r="D201" s="6" t="s">
        <v>38</v>
      </c>
      <c r="E201" s="6" t="s">
        <v>48</v>
      </c>
      <c r="F201" s="10">
        <v>45286</v>
      </c>
      <c r="G201" s="6" t="s">
        <v>40</v>
      </c>
      <c r="H201" s="3">
        <v>295.74</v>
      </c>
      <c r="I201" s="3">
        <v>6</v>
      </c>
      <c r="J201" s="3">
        <f t="shared" si="3"/>
        <v>49.29</v>
      </c>
      <c r="K201" s="3">
        <v>0</v>
      </c>
      <c r="L201" s="3">
        <v>6</v>
      </c>
    </row>
  </sheetData>
  <autoFilter ref="A1:L201" xr:uid="{00000000-0001-0000-0100-000000000000}">
    <sortState xmlns:xlrd2="http://schemas.microsoft.com/office/spreadsheetml/2017/richdata2" ref="A2:L201">
      <sortCondition ref="A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F164-DBD3-4228-9345-2B79BE10ACC5}">
  <dimension ref="A1:H19"/>
  <sheetViews>
    <sheetView zoomScale="106" workbookViewId="0">
      <selection sqref="A1:C1"/>
    </sheetView>
  </sheetViews>
  <sheetFormatPr defaultRowHeight="14.4" x14ac:dyDescent="0.3"/>
  <cols>
    <col min="1" max="1" width="13.88671875" bestFit="1" customWidth="1"/>
    <col min="2" max="2" width="20.21875" bestFit="1" customWidth="1"/>
    <col min="3" max="3" width="18.109375" bestFit="1" customWidth="1"/>
    <col min="4" max="4" width="10.5546875" bestFit="1" customWidth="1"/>
    <col min="5" max="5" width="14.6640625" bestFit="1" customWidth="1"/>
    <col min="6" max="6" width="12.109375" bestFit="1" customWidth="1"/>
  </cols>
  <sheetData>
    <row r="1" spans="1:8" ht="18" x14ac:dyDescent="0.35">
      <c r="A1" s="40" t="s">
        <v>322</v>
      </c>
      <c r="B1" s="40"/>
      <c r="C1" s="40"/>
      <c r="H1" s="23"/>
    </row>
    <row r="3" spans="1:8" x14ac:dyDescent="0.3">
      <c r="A3" s="24" t="s">
        <v>323</v>
      </c>
      <c r="B3" s="25" t="s">
        <v>28</v>
      </c>
      <c r="C3" s="25" t="s">
        <v>327</v>
      </c>
      <c r="D3" s="25" t="s">
        <v>34</v>
      </c>
      <c r="E3" s="26" t="s">
        <v>328</v>
      </c>
    </row>
    <row r="4" spans="1:8" x14ac:dyDescent="0.3">
      <c r="A4" s="27" t="s">
        <v>329</v>
      </c>
      <c r="B4" s="3">
        <f>AVERAGE(Cleaned_data!C2:C201)</f>
        <v>44.42</v>
      </c>
      <c r="C4" s="28">
        <f>AVERAGE(Cleaned_data!H2:H201)</f>
        <v>654.16747058823523</v>
      </c>
      <c r="D4" s="3">
        <f>AVERAGE(Cleaned_data!I2:I201)</f>
        <v>4.9550000000000001</v>
      </c>
      <c r="E4" s="29">
        <f>AVERAGE(Cleaned_data!L2:L201)</f>
        <v>7.9588235294117684</v>
      </c>
    </row>
    <row r="5" spans="1:8" x14ac:dyDescent="0.3">
      <c r="A5" s="27" t="s">
        <v>324</v>
      </c>
      <c r="B5" s="3">
        <f>_xlfn.STDEV.S(Cleaned_data!C2:C201)</f>
        <v>14.960117834701053</v>
      </c>
      <c r="C5" s="28">
        <f>_xlfn.STDEV.S(Cleaned_data!H2:H201)</f>
        <v>1075.4840534658608</v>
      </c>
      <c r="D5" s="3">
        <f>_xlfn.STDEV.S(Cleaned_data!I2:I201)</f>
        <v>2.6205555818926922</v>
      </c>
      <c r="E5" s="29">
        <f>_xlfn.STDEV.S(Cleaned_data!L2:L201)</f>
        <v>3.7755573083283633</v>
      </c>
    </row>
    <row r="6" spans="1:8" x14ac:dyDescent="0.3">
      <c r="A6" s="27" t="s">
        <v>325</v>
      </c>
      <c r="B6" s="3">
        <f>MIN(Cleaned_data!C2:C201)</f>
        <v>18</v>
      </c>
      <c r="C6" s="28">
        <f>MIN(Cleaned_data!H2:H201)</f>
        <v>24.4</v>
      </c>
      <c r="D6" s="3">
        <f>MIN(Cleaned_data!I2:I201)</f>
        <v>1</v>
      </c>
      <c r="E6" s="29">
        <f>MIN(Cleaned_data!L2:L201)</f>
        <v>1</v>
      </c>
    </row>
    <row r="7" spans="1:8" x14ac:dyDescent="0.3">
      <c r="A7" s="30" t="s">
        <v>326</v>
      </c>
      <c r="B7" s="31">
        <f>MAX(Cleaned_data!C2:C201)</f>
        <v>74</v>
      </c>
      <c r="C7" s="32">
        <f>MAX(Cleaned_data!H2:H201)</f>
        <v>9451.2900000000009</v>
      </c>
      <c r="D7" s="31">
        <f>MAX(Cleaned_data!I2:I201)</f>
        <v>9</v>
      </c>
      <c r="E7" s="33">
        <f>MAX(Cleaned_data!L2:L201)</f>
        <v>14</v>
      </c>
      <c r="F7" s="7"/>
    </row>
    <row r="8" spans="1:8" x14ac:dyDescent="0.3">
      <c r="B8" s="7"/>
      <c r="F8" s="7"/>
    </row>
    <row r="9" spans="1:8" ht="18" x14ac:dyDescent="0.35">
      <c r="A9" s="40" t="s">
        <v>330</v>
      </c>
      <c r="B9" s="41"/>
      <c r="C9" s="41"/>
      <c r="F9" s="7"/>
    </row>
    <row r="10" spans="1:8" x14ac:dyDescent="0.3">
      <c r="F10" s="7"/>
    </row>
    <row r="11" spans="1:8" x14ac:dyDescent="0.3">
      <c r="A11" s="19" t="s">
        <v>320</v>
      </c>
      <c r="B11" s="34" t="s">
        <v>319</v>
      </c>
      <c r="C11" s="35"/>
      <c r="D11" s="35"/>
      <c r="E11" s="35"/>
      <c r="F11" s="35"/>
    </row>
    <row r="12" spans="1:8" x14ac:dyDescent="0.3">
      <c r="A12" s="19" t="s">
        <v>29</v>
      </c>
      <c r="B12" s="1" t="s">
        <v>40</v>
      </c>
      <c r="C12" s="25" t="s">
        <v>46</v>
      </c>
      <c r="D12" s="25" t="s">
        <v>51</v>
      </c>
      <c r="E12" s="25" t="s">
        <v>43</v>
      </c>
      <c r="F12" s="25" t="s">
        <v>318</v>
      </c>
    </row>
    <row r="13" spans="1:8" x14ac:dyDescent="0.3">
      <c r="A13" s="20" t="s">
        <v>53</v>
      </c>
      <c r="B13" s="1">
        <v>5</v>
      </c>
      <c r="C13" s="1">
        <v>12</v>
      </c>
      <c r="D13" s="1">
        <v>20</v>
      </c>
      <c r="E13" s="1">
        <v>10</v>
      </c>
      <c r="F13" s="1">
        <v>47</v>
      </c>
    </row>
    <row r="14" spans="1:8" x14ac:dyDescent="0.3">
      <c r="A14" s="20" t="s">
        <v>38</v>
      </c>
      <c r="B14" s="1">
        <v>24</v>
      </c>
      <c r="C14" s="1">
        <v>37</v>
      </c>
      <c r="D14" s="1">
        <v>47</v>
      </c>
      <c r="E14" s="1">
        <v>15</v>
      </c>
      <c r="F14" s="1">
        <v>123</v>
      </c>
    </row>
    <row r="15" spans="1:8" x14ac:dyDescent="0.3">
      <c r="A15" s="20" t="s">
        <v>304</v>
      </c>
      <c r="B15" s="1">
        <v>9</v>
      </c>
      <c r="C15" s="1">
        <v>8</v>
      </c>
      <c r="D15" s="1">
        <v>10</v>
      </c>
      <c r="E15" s="1">
        <v>3</v>
      </c>
      <c r="F15" s="1">
        <v>30</v>
      </c>
    </row>
    <row r="16" spans="1:8" x14ac:dyDescent="0.3">
      <c r="A16" s="20" t="s">
        <v>318</v>
      </c>
      <c r="B16" s="1">
        <v>38</v>
      </c>
      <c r="C16" s="1">
        <v>57</v>
      </c>
      <c r="D16" s="1">
        <v>77</v>
      </c>
      <c r="E16" s="1">
        <v>28</v>
      </c>
      <c r="F16" s="1">
        <v>200</v>
      </c>
    </row>
    <row r="19" spans="1:1" x14ac:dyDescent="0.3">
      <c r="A19" s="42"/>
    </row>
  </sheetData>
  <mergeCells count="2">
    <mergeCell ref="A1:C1"/>
    <mergeCell ref="A9:C9"/>
  </mergeCell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DE7B-5C81-4D0B-9DB2-F80C149FDB23}">
  <dimension ref="M18:N22"/>
  <sheetViews>
    <sheetView workbookViewId="0">
      <selection activeCell="K31" sqref="K31"/>
    </sheetView>
  </sheetViews>
  <sheetFormatPr defaultRowHeight="14.4" x14ac:dyDescent="0.3"/>
  <cols>
    <col min="1" max="1" width="7.44140625" bestFit="1" customWidth="1"/>
    <col min="2" max="2" width="9.6640625" customWidth="1"/>
    <col min="3" max="3" width="9.33203125" customWidth="1"/>
    <col min="13" max="13" width="10.77734375" bestFit="1" customWidth="1"/>
    <col min="14" max="14" width="17.5546875" bestFit="1" customWidth="1"/>
  </cols>
  <sheetData>
    <row r="18" spans="13:14" x14ac:dyDescent="0.3">
      <c r="M18" t="s">
        <v>288</v>
      </c>
      <c r="N18" t="s">
        <v>317</v>
      </c>
    </row>
    <row r="19" spans="13:14" x14ac:dyDescent="0.3">
      <c r="M19" t="s">
        <v>51</v>
      </c>
      <c r="N19">
        <f>AVERAGEIF(Cleaned_data!G:G,"Electronics",Cleaned_data!H:H)</f>
        <v>722.29321084797573</v>
      </c>
    </row>
    <row r="20" spans="13:14" x14ac:dyDescent="0.3">
      <c r="M20" t="s">
        <v>316</v>
      </c>
      <c r="N20">
        <f>AVERAGEIF(Cleaned_data!G:G,"Books",Cleaned_data!H:H)</f>
        <v>658.26131269349844</v>
      </c>
    </row>
    <row r="21" spans="13:14" x14ac:dyDescent="0.3">
      <c r="M21" t="s">
        <v>46</v>
      </c>
      <c r="N21">
        <f>AVERAGEIF(Cleaned_data!G:G,"Clothing",Cleaned_data!H:H)</f>
        <v>624.03196800825572</v>
      </c>
    </row>
    <row r="22" spans="13:14" x14ac:dyDescent="0.3">
      <c r="M22" t="s">
        <v>43</v>
      </c>
      <c r="N22">
        <f>AVERAGEIF(Cleaned_data!G:G,"Food",Cleaned_data!H:H)</f>
        <v>522.61302941176473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Data_Dictionary</vt:lpstr>
      <vt:lpstr>Cleaned_data</vt:lpstr>
      <vt:lpstr>Analysis</vt:lpstr>
      <vt:lpstr>Key_Visuals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NITISHA</cp:lastModifiedBy>
  <dcterms:created xsi:type="dcterms:W3CDTF">2026-02-11T03:54:33Z</dcterms:created>
  <dcterms:modified xsi:type="dcterms:W3CDTF">2026-02-11T10:01:44Z</dcterms:modified>
</cp:coreProperties>
</file>