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NITISHA\Desktop\Project 1\Final Task\"/>
    </mc:Choice>
  </mc:AlternateContent>
  <xr:revisionPtr revIDLastSave="0" documentId="13_ncr:1_{4CFE5CAC-0E73-43A8-817B-DF46BB436A38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🏠 Cover" sheetId="1" r:id="rId1"/>
    <sheet name="📋 Raw Data" sheetId="2" r:id="rId2"/>
    <sheet name="🔢 Preprocessing" sheetId="3" r:id="rId3"/>
    <sheet name="✂️ Train-Test Split" sheetId="4" r:id="rId4"/>
    <sheet name="📊 Summary Stats" sheetId="5" r:id="rId5"/>
    <sheet name="🔍 Churn Analysis" sheetId="6" r:id="rId6"/>
    <sheet name="🏆 Model Results" sheetId="7" r:id="rId7"/>
    <sheet name="⚙️ Hyperparameters" sheetId="8" r:id="rId8"/>
    <sheet name="📖 Formulas Used" sheetId="9" r:id="rId9"/>
    <sheet name="💡 Insigh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C10" i="4"/>
  <c r="C9" i="4"/>
  <c r="C8" i="4"/>
</calcChain>
</file>

<file path=xl/sharedStrings.xml><?xml version="1.0" encoding="utf-8"?>
<sst xmlns="http://schemas.openxmlformats.org/spreadsheetml/2006/main" count="1964" uniqueCount="675">
  <si>
    <t>CUSTOMER CHURN PREDICTION</t>
  </si>
  <si>
    <t>A Complete Excel-Based Analysis Project</t>
  </si>
  <si>
    <t>Dataset: churn-bigml-80.csv  |  2,666 Customers  |  20 Columns  |  Churn Rate: 14.55%</t>
  </si>
  <si>
    <t>2,666</t>
  </si>
  <si>
    <t>388</t>
  </si>
  <si>
    <t>2,278</t>
  </si>
  <si>
    <t>14.55%</t>
  </si>
  <si>
    <t>20</t>
  </si>
  <si>
    <t>0</t>
  </si>
  <si>
    <t>Total Customers</t>
  </si>
  <si>
    <t>Churned</t>
  </si>
  <si>
    <t>Retained</t>
  </si>
  <si>
    <t>Churn Rate</t>
  </si>
  <si>
    <t>Features</t>
  </si>
  <si>
    <t>Missing Values</t>
  </si>
  <si>
    <t xml:space="preserve">  WORKBOOK CONTENTS</t>
  </si>
  <si>
    <t>Sheet</t>
  </si>
  <si>
    <t>Step</t>
  </si>
  <si>
    <t>What You Will Find</t>
  </si>
  <si>
    <t>📋 Raw Data</t>
  </si>
  <si>
    <t>Step 1</t>
  </si>
  <si>
    <t>Original dataset — 2,666 rows, all 20 columns, colour-coded churn column</t>
  </si>
  <si>
    <t>🔢 Preprocessing</t>
  </si>
  <si>
    <t>Step 2-3</t>
  </si>
  <si>
    <t>Categorical encoding table, scaling formula, before/after comparison</t>
  </si>
  <si>
    <t>✂️ Train-Test Split</t>
  </si>
  <si>
    <t>Step 4</t>
  </si>
  <si>
    <t>80/20 split explanation, stratification check, sample records</t>
  </si>
  <si>
    <t>📊 Summary Stats</t>
  </si>
  <si>
    <t>Step 5</t>
  </si>
  <si>
    <t>Feature means, std dev, min/max by churn group with difference column</t>
  </si>
  <si>
    <t>🔍 Churn Analysis</t>
  </si>
  <si>
    <t>Step 6</t>
  </si>
  <si>
    <t>Churn by service calls, day minutes, plan type — with risk ratings</t>
  </si>
  <si>
    <t>🏆 Model Results</t>
  </si>
  <si>
    <t>Step 7</t>
  </si>
  <si>
    <t>All 4 models: Accuracy, Precision, Recall, F1 with confusion matrices</t>
  </si>
  <si>
    <t>⚙️ Hyperparameters</t>
  </si>
  <si>
    <t>Step 8</t>
  </si>
  <si>
    <t>GridSearchCV parameter grid, all 36 combos, best configuration</t>
  </si>
  <si>
    <t>📖 Formula Guide</t>
  </si>
  <si>
    <t>Step 9</t>
  </si>
  <si>
    <t>Every formula explained: Z-score, Accuracy, Precision, Recall, F1, Gini</t>
  </si>
  <si>
    <t>💡 Insights</t>
  </si>
  <si>
    <t>Step 10</t>
  </si>
  <si>
    <t>Top features, business recommendations, ROI estimate, action plan</t>
  </si>
  <si>
    <t>STEP 1 — RAW DATA  |  churn-bigml-80.csv  |  First 300 rows shown (2,666 total)</t>
  </si>
  <si>
    <t xml:space="preserve">  ⓘ  Churn = TRUE (red) means the customer LEFT.  Churn = FALSE (green) means they STAYED.  This is what we are trying to predict.</t>
  </si>
  <si>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</si>
  <si>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</si>
  <si>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</si>
  <si>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</si>
  <si>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</si>
  <si>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</si>
  <si>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</si>
  <si>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</si>
  <si>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</si>
  <si>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</si>
  <si>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</si>
  <si>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</si>
  <si>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</si>
  <si>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</si>
  <si>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</si>
  <si>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</si>
  <si>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</si>
  <si>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</si>
  <si>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</si>
  <si>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</si>
  <si>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Churn_num</t>
  </si>
  <si>
    <t>KS</t>
  </si>
  <si>
    <t>No</t>
  </si>
  <si>
    <t>Yes</t>
  </si>
  <si>
    <t>FALSE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</si>
  <si>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</si>
  <si>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</si>
  <si>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</si>
  <si>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</si>
  <si>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</si>
  <si>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</si>
  <si>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</si>
  <si>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</si>
  <si>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</si>
  <si>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</si>
  <si>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</si>
  <si>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</si>
  <si>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</si>
  <si>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</si>
  <si>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</si>
  <si>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</si>
  <si>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TRUE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</si>
  <si>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</si>
  <si>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</si>
  <si>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</si>
  <si>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</si>
  <si>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</si>
  <si>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</si>
  <si>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</si>
  <si>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</si>
  <si>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</si>
  <si>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</si>
  <si>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</si>
  <si>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</si>
  <si>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</si>
  <si>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</si>
  <si>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</si>
  <si>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</si>
  <si>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</si>
  <si>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</si>
  <si>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</si>
  <si>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</si>
  <si>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</si>
  <si>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</si>
  <si>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</si>
  <si>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</si>
  <si>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</si>
  <si>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</si>
  <si>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</si>
  <si>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</si>
  <si>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</si>
  <si>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</si>
  <si>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</si>
  <si>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</si>
  <si>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STEPS 2 &amp; 3 — DATA PREPROCESSING  |  Encoding Categorical Variables + Feature Scaling</t>
  </si>
  <si>
    <t xml:space="preserve">  WHY PREPROCESSING?  What It Means &amp; Why We Do It</t>
  </si>
  <si>
    <t>Machine learning models are purely mathematical — they only understand numbers, not words like 'Yes', 'No', or 'True'. Preprocessing converts our raw data into a clean, numerical format the model can process. Without it, the model would either crash or produce wrong results.</t>
  </si>
  <si>
    <t xml:space="preserve">  A.  CATEGORICAL ENCODING — Converting Text to Numbers</t>
  </si>
  <si>
    <t>Column</t>
  </si>
  <si>
    <t>Original Values</t>
  </si>
  <si>
    <t>Problem</t>
  </si>
  <si>
    <t>Solution</t>
  </si>
  <si>
    <t>Encoded As</t>
  </si>
  <si>
    <t>Why This Method</t>
  </si>
  <si>
    <t>KS, OH, NJ...</t>
  </si>
  <si>
    <t>51 unique states — too many for simple encoding</t>
  </si>
  <si>
    <t>DROPPED</t>
  </si>
  <si>
    <t>Removed</t>
  </si>
  <si>
    <t>High-cardinality with small data = noise. Would need Target Encoding with more data.</t>
  </si>
  <si>
    <t>'Yes' / 'No'</t>
  </si>
  <si>
    <t>Text — model cannot do math on words</t>
  </si>
  <si>
    <t>Label Encode</t>
  </si>
  <si>
    <t>Yes→1, No→0</t>
  </si>
  <si>
    <t>Only 2 options (binary). Label encoding is perfect for binary categories.</t>
  </si>
  <si>
    <t>Only 2 options (binary). Same reason as International plan.</t>
  </si>
  <si>
    <t>Churn (TARGET)</t>
  </si>
  <si>
    <t>True / False</t>
  </si>
  <si>
    <t>Boolean — needs integer format for sklearn</t>
  </si>
  <si>
    <t>Map</t>
  </si>
  <si>
    <t>True→1, False→0</t>
  </si>
  <si>
    <t>Target column must be integer 1/0 for classification algorithms.</t>
  </si>
  <si>
    <t xml:space="preserve">  B.  FEATURE SCALING — StandardScaler (Z-score Normalisation)</t>
  </si>
  <si>
    <t>PROBLEM: Features have very different ranges. 'Total day minutes' ranges 0–350. 'Customer service calls' ranges 0–9. Without scaling, day minutes dominate simply due to their larger numbers — NOT because they are actually more important. Scaling brings all features to the same scale so the model judges them fairly.</t>
  </si>
  <si>
    <t>THE FORMULA:   z  =  ( x  −  μ )  /  σ</t>
  </si>
  <si>
    <t>Symbol</t>
  </si>
  <si>
    <t>Name</t>
  </si>
  <si>
    <t>Meaning</t>
  </si>
  <si>
    <t>Example (Total Day Minutes)</t>
  </si>
  <si>
    <t>x</t>
  </si>
  <si>
    <t>Raw value</t>
  </si>
  <si>
    <t>The original data value for one customer</t>
  </si>
  <si>
    <t>265.1 minutes</t>
  </si>
  <si>
    <t>μ (mu)</t>
  </si>
  <si>
    <t>Mean</t>
  </si>
  <si>
    <t>Average of that feature across ALL training data</t>
  </si>
  <si>
    <t>179.5 minutes (overall average)</t>
  </si>
  <si>
    <t>σ (sigma)</t>
  </si>
  <si>
    <t>Std Deviation</t>
  </si>
  <si>
    <t>Spread of values around the mean</t>
  </si>
  <si>
    <t>54.5 minutes</t>
  </si>
  <si>
    <t>z</t>
  </si>
  <si>
    <t>Z-score</t>
  </si>
  <si>
    <t>How many std deviations above/below average this customer is</t>
  </si>
  <si>
    <t>(265.1 − 179.5) / 54.5  =  +1.57</t>
  </si>
  <si>
    <t xml:space="preserve">  C.  BEFORE vs. AFTER SCALING — Example Comparison</t>
  </si>
  <si>
    <t>Feature</t>
  </si>
  <si>
    <t>Raw Min</t>
  </si>
  <si>
    <t>Raw Max</t>
  </si>
  <si>
    <t>Raw Mean</t>
  </si>
  <si>
    <t>Scaled Min</t>
  </si>
  <si>
    <t>Scaled Max</t>
  </si>
  <si>
    <t>Scaled Mean</t>
  </si>
  <si>
    <t>Why Same Mean?</t>
  </si>
  <si>
    <t>0.0</t>
  </si>
  <si>
    <t>351.5</t>
  </si>
  <si>
    <t>179.5</t>
  </si>
  <si>
    <t>-3.30</t>
  </si>
  <si>
    <t>3.15</t>
  </si>
  <si>
    <t>0.00</t>
  </si>
  <si>
    <t>Always 0 after scaling</t>
  </si>
  <si>
    <t>9</t>
  </si>
  <si>
    <t>1.6</t>
  </si>
  <si>
    <t>-1.14</t>
  </si>
  <si>
    <t>5.37</t>
  </si>
  <si>
    <t>1</t>
  </si>
  <si>
    <t>243</t>
  </si>
  <si>
    <t>100.6</t>
  </si>
  <si>
    <t>-2.58</t>
  </si>
  <si>
    <t>3.68</t>
  </si>
  <si>
    <t>5.4</t>
  </si>
  <si>
    <t>2.76</t>
  </si>
  <si>
    <t>-2.63</t>
  </si>
  <si>
    <t>2.51</t>
  </si>
  <si>
    <t xml:space="preserve">  ⚠ IMPORTANT RULE:  Fit the scaler ONLY on training data. Then apply (transform) it to test data using the same training mean and std. Never re-fit on test data — that causes DATA LEAKAGE, which makes model performance look artificially better than it is.</t>
  </si>
  <si>
    <t>STEP 4 — TRAIN / TEST SPLIT  |  80% Training · 20% Testing  |  Stratified by Churn</t>
  </si>
  <si>
    <t xml:space="preserve">  WHAT IS A TRAIN/TEST SPLIT AND WHY DO WE DO IT?</t>
  </si>
  <si>
    <t>We cannot evaluate a model on the same data it learned from — that is like giving students the exam paper they studied from word-for-word. The test set simulates 'new, unseen customers' the model has never encountered. Only by testing on completely separate data can we trust our accuracy scores.</t>
  </si>
  <si>
    <t xml:space="preserve">  THE MATHS — Splitting 2,666 Records</t>
  </si>
  <si>
    <t>Calculation</t>
  </si>
  <si>
    <t>Formula</t>
  </si>
  <si>
    <t>Result</t>
  </si>
  <si>
    <t>Actual Rounded</t>
  </si>
  <si>
    <t>Training set size</t>
  </si>
  <si>
    <t>2,666 × 80%</t>
  </si>
  <si>
    <t>2,132 customers</t>
  </si>
  <si>
    <t>Test set size</t>
  </si>
  <si>
    <t>2,666 × 20%</t>
  </si>
  <si>
    <t>534 customers</t>
  </si>
  <si>
    <t>Training churn count</t>
  </si>
  <si>
    <t>2,132 × 14.54%</t>
  </si>
  <si>
    <t>310 churners</t>
  </si>
  <si>
    <t>Test churn count</t>
  </si>
  <si>
    <t>534 × 14.61%</t>
  </si>
  <si>
    <t>78 churners</t>
  </si>
  <si>
    <t xml:space="preserve">  STRATIFIED SPLIT — Preserving the Churn Ratio in Both Sets</t>
  </si>
  <si>
    <t>Dataset</t>
  </si>
  <si>
    <t>Total Records</t>
  </si>
  <si>
    <t>Churners</t>
  </si>
  <si>
    <t>Non-Churners</t>
  </si>
  <si>
    <t>Matches Original?</t>
  </si>
  <si>
    <t>Full Dataset (original)</t>
  </si>
  <si>
    <t>—  (this is the target)</t>
  </si>
  <si>
    <t>Training Set (80%)</t>
  </si>
  <si>
    <t>2,132</t>
  </si>
  <si>
    <t>310</t>
  </si>
  <si>
    <t>1,822</t>
  </si>
  <si>
    <t>14.54%</t>
  </si>
  <si>
    <t>✔  Within 0.01% — perfect</t>
  </si>
  <si>
    <t>Test Set (20%)</t>
  </si>
  <si>
    <t>534</t>
  </si>
  <si>
    <t>78</t>
  </si>
  <si>
    <t>456</t>
  </si>
  <si>
    <t>14.61%</t>
  </si>
  <si>
    <t>✔  Within 0.06% — perfect</t>
  </si>
  <si>
    <t>WITHOUT stratification</t>
  </si>
  <si>
    <t>??</t>
  </si>
  <si>
    <t>Could be 8% or 20%</t>
  </si>
  <si>
    <t>✖  Random chance — unreliable</t>
  </si>
  <si>
    <t xml:space="preserve">  ✔ RESULT:  Both splits have ~14.55% churners — the model learns from a representative sample AND is tested on a representative sample. Removing stratification could let most churners end up in training, starving the test set of positive examples.</t>
  </si>
  <si>
    <t xml:space="preserve">  WHAT EACH SET IS USED FOR</t>
  </si>
  <si>
    <t>Set</t>
  </si>
  <si>
    <t>Size</t>
  </si>
  <si>
    <t>Used For</t>
  </si>
  <si>
    <t>Scaler Action</t>
  </si>
  <si>
    <t>Final Evaluation?</t>
  </si>
  <si>
    <t>Training Set</t>
  </si>
  <si>
    <t>Model learns all patterns here. Cross-validation runs here. Hyperparameter tuning here.</t>
  </si>
  <si>
    <t>FIT + TRANSFORM (scaler learns mean/std from this set)</t>
  </si>
  <si>
    <t>NO — never used for final score</t>
  </si>
  <si>
    <t>Test Set</t>
  </si>
  <si>
    <t>Model is evaluated here ONCE at the very end — never touched during training.</t>
  </si>
  <si>
    <t>TRANSFORM ONLY (uses training mean/std — no refitting)</t>
  </si>
  <si>
    <t>YES — these are the reported scores</t>
  </si>
  <si>
    <t>STEP 5 — SUMMARY STATISTICS  |  Feature Means: Churned vs. Not Churned  |  Spotting Patterns</t>
  </si>
  <si>
    <t xml:space="preserve">  A.  OVERALL DATASET KPIs</t>
  </si>
  <si>
    <t>Metric</t>
  </si>
  <si>
    <t>Value</t>
  </si>
  <si>
    <t>Formula Used</t>
  </si>
  <si>
    <t>Interpretation</t>
  </si>
  <si>
    <t>Total customers</t>
  </si>
  <si>
    <t>COUNT(Churn column)</t>
  </si>
  <si>
    <t>Full dataset size</t>
  </si>
  <si>
    <t>Churned (TRUE)</t>
  </si>
  <si>
    <t>COUNTIF(Churn,TRUE)</t>
  </si>
  <si>
    <t>Customers who left — our positive class</t>
  </si>
  <si>
    <t>Retained (FALSE)</t>
  </si>
  <si>
    <t>COUNTIF(Churn,FALSE)</t>
  </si>
  <si>
    <t>Customers who stayed — our negative class</t>
  </si>
  <si>
    <t>Churn rate</t>
  </si>
  <si>
    <t>388 / 2,666</t>
  </si>
  <si>
    <t>Proportion of customers lost — dataset is IMBALANCED</t>
  </si>
  <si>
    <t>Intl plan subscribers</t>
  </si>
  <si>
    <t>270</t>
  </si>
  <si>
    <t>COUNTIF(Intl plan,Yes)</t>
  </si>
  <si>
    <t>10.1% of all customers have intl plan</t>
  </si>
  <si>
    <t>VM plan subscribers</t>
  </si>
  <si>
    <t>733</t>
  </si>
  <si>
    <t>COUNTIF(VM plan,Yes)</t>
  </si>
  <si>
    <t>27.5% of all customers have voice mail</t>
  </si>
  <si>
    <t>Avg customer svc calls</t>
  </si>
  <si>
    <t>1.56</t>
  </si>
  <si>
    <t>AVERAGE(CS calls)</t>
  </si>
  <si>
    <t>Low average — but 4+ calls = danger zone</t>
  </si>
  <si>
    <t>Avg total day minutes</t>
  </si>
  <si>
    <t>AVERAGE(Day minutes)</t>
  </si>
  <si>
    <t>Churners average 205 vs 175 for retained</t>
  </si>
  <si>
    <t xml:space="preserve">  B.  FEATURE MEANS BY CHURN GROUP  —  Identifying Predictive Features</t>
  </si>
  <si>
    <t xml:space="preserve">  HOW TO READ: A large positive DIFFERENCE (churned &gt; not churned) means that feature is strongly associated with churn. These become our model's top predictors.</t>
  </si>
  <si>
    <t>Overall Mean</t>
  </si>
  <si>
    <t>Not Churned Mean</t>
  </si>
  <si>
    <t>Churned Mean</t>
  </si>
  <si>
    <t>Difference (C-NC)</t>
  </si>
  <si>
    <t>% Difference</t>
  </si>
  <si>
    <t>Signal Strength</t>
  </si>
  <si>
    <t>+2.0%</t>
  </si>
  <si>
    <t>🟢 Weak</t>
  </si>
  <si>
    <t>+17.2%</t>
  </si>
  <si>
    <t>🔴 Strong</t>
  </si>
  <si>
    <t>+1.0%</t>
  </si>
  <si>
    <t>+5.3%</t>
  </si>
  <si>
    <t>🟡 Medium</t>
  </si>
  <si>
    <t>-0.1%</t>
  </si>
  <si>
    <t>+2.4%</t>
  </si>
  <si>
    <t>+0.7%</t>
  </si>
  <si>
    <t>+6.7%</t>
  </si>
  <si>
    <t>-10.7%</t>
  </si>
  <si>
    <t>+51.8%</t>
  </si>
  <si>
    <t>-39.2%</t>
  </si>
  <si>
    <t>STEP 6 — CHURN DRIVER ANALYSIS  |  Key Risk Segments  |  Excel COUNTIFS Calculations</t>
  </si>
  <si>
    <t xml:space="preserve">  A.  CHURN RATE BY CUSTOMER SERVICE CALLS  —  Formula: =COUNTIFS(CS_calls,N,Churn,TRUE)/COUNTIF(CS_calls,N)</t>
  </si>
  <si>
    <t>Calls Made</t>
  </si>
  <si>
    <t>Not Churned</t>
  </si>
  <si>
    <t>vs. Avg (14.55%)</t>
  </si>
  <si>
    <t>Risk Level &amp; Action</t>
  </si>
  <si>
    <t>14.2%</t>
  </si>
  <si>
    <t>-0.3pp</t>
  </si>
  <si>
    <t>🟡 MEDIUM — Monitor closely</t>
  </si>
  <si>
    <t>10.5%</t>
  </si>
  <si>
    <t>-4.1pp</t>
  </si>
  <si>
    <t>🟢 LOW — Standard service</t>
  </si>
  <si>
    <t>10.2%</t>
  </si>
  <si>
    <t>-4.4pp</t>
  </si>
  <si>
    <t>10.6%</t>
  </si>
  <si>
    <t>-3.9pp</t>
  </si>
  <si>
    <t>48.1%</t>
  </si>
  <si>
    <t>+33.6pp</t>
  </si>
  <si>
    <t>🔴 CRITICAL — Immediate outreach</t>
  </si>
  <si>
    <t>59.2%</t>
  </si>
  <si>
    <t>+44.6pp</t>
  </si>
  <si>
    <t>58.8%</t>
  </si>
  <si>
    <t>+44.3pp</t>
  </si>
  <si>
    <t>62.5%</t>
  </si>
  <si>
    <t>+48.0pp</t>
  </si>
  <si>
    <t>100.0%</t>
  </si>
  <si>
    <t>+85.5pp</t>
  </si>
  <si>
    <t xml:space="preserve">  🔑 KEY FINDING:  Churn rate jumps from ~10% (1-3 calls) to 48% at 4 calls and 59% at 5 calls. The 4-call threshold is a CRITICAL early warning signal. Flag any customer hitting 3 service calls for immediate proactive outreach.</t>
  </si>
  <si>
    <t xml:space="preserve">  B.  CHURN RATE BY TOTAL DAY MINUTES — Formula: =COUNTIFS(Day_min,"&gt;="&amp;LO,Day_min,"&lt;"&amp;HI,Churn,TRUE)/COUNTIFS(Day_min,"&gt;="&amp;LO,Day_min,"&lt;"&amp;HI)</t>
  </si>
  <si>
    <t>Day Minutes Range</t>
  </si>
  <si>
    <t>Risk Level</t>
  </si>
  <si>
    <t>0 – 99</t>
  </si>
  <si>
    <t>11.0%</t>
  </si>
  <si>
    <t>-3.6pp</t>
  </si>
  <si>
    <t>🟢 LOW — Healthy segment</t>
  </si>
  <si>
    <t>100 – 149</t>
  </si>
  <si>
    <t>12.4%</t>
  </si>
  <si>
    <t>-2.1pp</t>
  </si>
  <si>
    <t>🟡 MEDIUM — Watch group</t>
  </si>
  <si>
    <t>150 – 199</t>
  </si>
  <si>
    <t>9.1%</t>
  </si>
  <si>
    <t>-5.4pp</t>
  </si>
  <si>
    <t>200 – 249</t>
  </si>
  <si>
    <t>12.5%</t>
  </si>
  <si>
    <t>250 – 299</t>
  </si>
  <si>
    <t>42.0%</t>
  </si>
  <si>
    <t>+27.4pp</t>
  </si>
  <si>
    <t>🔴 CRITICAL — 3x average rate</t>
  </si>
  <si>
    <t>300 +</t>
  </si>
  <si>
    <t>75.0%</t>
  </si>
  <si>
    <t>+60.5pp</t>
  </si>
  <si>
    <t xml:space="preserve">  🔑 KEY FINDING:  Customers using 250+ minutes/day churn at 42–75%. This is likely due to bill shock on per-minute plans. Offering an unlimited day-minutes plan to high-usage customers could dramatically cut churn.</t>
  </si>
  <si>
    <t xml:space="preserve">  C.  CHURN RATE BY PLAN TYPE — Formula: =COUNTIFS(Plan,"Yes",Churn,TRUE)/COUNTIF(Plan,"Yes")</t>
  </si>
  <si>
    <t>Plan Segment</t>
  </si>
  <si>
    <t>Key Insight</t>
  </si>
  <si>
    <t>International Plan: YES</t>
  </si>
  <si>
    <t>43.7%</t>
  </si>
  <si>
    <t>+29.2pp</t>
  </si>
  <si>
    <t>🔴 4× average rate — pricing problem</t>
  </si>
  <si>
    <t>International Plan: NO</t>
  </si>
  <si>
    <t>11.3%</t>
  </si>
  <si>
    <t>-3.3pp</t>
  </si>
  <si>
    <t>🟢 Below average — healthy</t>
  </si>
  <si>
    <t>Voice Mail Plan: YES</t>
  </si>
  <si>
    <t>8.9%</t>
  </si>
  <si>
    <t>-5.7pp</t>
  </si>
  <si>
    <t>🟢 VM users are more engaged, less likely to churn</t>
  </si>
  <si>
    <t>Voice Mail Plan: NO</t>
  </si>
  <si>
    <t>16.7%</t>
  </si>
  <si>
    <t>+2.2pp</t>
  </si>
  <si>
    <t>🟡 Slightly above average — promote VM adoption</t>
  </si>
  <si>
    <t>STEP 7 — MODEL RESULTS SCORECARD  |  4 Models Compared  |  Train: 2,132 · Test: 534</t>
  </si>
  <si>
    <t xml:space="preserve">  A.  CONFUSION MATRIX — Understanding TP, TN, FP, FN Before Reading the Scores</t>
  </si>
  <si>
    <t>Every metric below is derived from 4 counts: True Positives (caught churners), True Negatives (correct non-churner), False Positives (false alarms), False Negatives (missed churners).</t>
  </si>
  <si>
    <t>PREDICTED: NO CHURN</t>
  </si>
  <si>
    <t>PREDICTED: CHURN</t>
  </si>
  <si>
    <t>ACTUAL: NO CHURN</t>
  </si>
  <si>
    <t>TN ✔  Correctly said 'stays'</t>
  </si>
  <si>
    <t>FP ✖  False alarm — said churn, didn't</t>
  </si>
  <si>
    <t>ACTUAL: CHURN</t>
  </si>
  <si>
    <t>FN ✖  Missed churner — said stays, actually left</t>
  </si>
  <si>
    <t>TP ✔  Caught a real churner</t>
  </si>
  <si>
    <t xml:space="preserve">  B.  MODEL SCORECARD — All 4 Models on the Test Set (534 customers)</t>
  </si>
  <si>
    <t>Model</t>
  </si>
  <si>
    <t>Accuracy</t>
  </si>
  <si>
    <t>Precision</t>
  </si>
  <si>
    <t>Recall</t>
  </si>
  <si>
    <t>F1-Score</t>
  </si>
  <si>
    <t>CV Accuracy</t>
  </si>
  <si>
    <t>Notes / Interpretation</t>
  </si>
  <si>
    <t>🥉 Logistic Regression</t>
  </si>
  <si>
    <t>83.90%</t>
  </si>
  <si>
    <t>38.89%</t>
  </si>
  <si>
    <t>17.95%</t>
  </si>
  <si>
    <t>0.2456</t>
  </si>
  <si>
    <t>86.49%</t>
  </si>
  <si>
    <t>Linear boundary only. Caught just 18% of churners. Low recall makes this useless for churn use case.</t>
  </si>
  <si>
    <t>🥈 Decision Tree</t>
  </si>
  <si>
    <t>90.64%</t>
  </si>
  <si>
    <t>68.42%</t>
  </si>
  <si>
    <t>66.67%</t>
  </si>
  <si>
    <t>0.6753</t>
  </si>
  <si>
    <t>90.39%</t>
  </si>
  <si>
    <t>Non-linear, interpretable. Catches 2 out of 3 churners. Can overfit without pruning.</t>
  </si>
  <si>
    <t>🥇 Random Forest</t>
  </si>
  <si>
    <t>95.51%</t>
  </si>
  <si>
    <t>98.21%</t>
  </si>
  <si>
    <t>70.51%</t>
  </si>
  <si>
    <t>0.8209</t>
  </si>
  <si>
    <t>94.98%</t>
  </si>
  <si>
    <t>100 trees averaged. Near-perfect precision — virtually no false alarms. Best out-of-the-box.</t>
  </si>
  <si>
    <t>🏆 RF (Tuned) — WINNER</t>
  </si>
  <si>
    <t>95.69%</t>
  </si>
  <si>
    <t>98.25%</t>
  </si>
  <si>
    <t>71.79%</t>
  </si>
  <si>
    <t>0.8296</t>
  </si>
  <si>
    <t>81.58%</t>
  </si>
  <si>
    <t>GridSearchCV tuned. Best F1. Catches 72% of all churners with 98% precision.</t>
  </si>
  <si>
    <t xml:space="preserve">  🏆  WINNER: Tuned Random Forest  |  Accuracy: 95.69%  |  Precision: 98.25%  |  Recall: 71.79%  |  F1-Score: 0.8296</t>
  </si>
  <si>
    <t xml:space="preserve">  C.  CONFUSION MATRIX NUMBERS — Tuned Random Forest on 534 Test Customers</t>
  </si>
  <si>
    <t>Count</t>
  </si>
  <si>
    <t>Plain English</t>
  </si>
  <si>
    <t>True Positives (TP)</t>
  </si>
  <si>
    <t>56</t>
  </si>
  <si>
    <t>TP = Recall × Actual Churners = 0.7179 × 78</t>
  </si>
  <si>
    <t>Churners we correctly caught and can now retain</t>
  </si>
  <si>
    <t>False Positives (FP)</t>
  </si>
  <si>
    <t>FP = TP/Precision − TP = 56/0.9825 − 56</t>
  </si>
  <si>
    <t>Non-churners wrongly flagged — wasted retention budget</t>
  </si>
  <si>
    <t>False Negatives (FN)</t>
  </si>
  <si>
    <t>22</t>
  </si>
  <si>
    <t>FN = Actual Churners − TP = 78 − 56</t>
  </si>
  <si>
    <t>Churners we MISSED — they will leave without intervention</t>
  </si>
  <si>
    <t>True Negatives (TN)</t>
  </si>
  <si>
    <t>455</t>
  </si>
  <si>
    <t>TN = Total − TP − FP − FN = 534 − 56 − 1 − 22</t>
  </si>
  <si>
    <t>Non-churners correctly identified — no action needed</t>
  </si>
  <si>
    <t>STEP 8 — HYPERPARAMETER TUNING  |  GridSearchCV  |  36 Combos × 5 Folds = 180 Fits</t>
  </si>
  <si>
    <t xml:space="preserve">  WHAT ARE HYPERPARAMETERS?</t>
  </si>
  <si>
    <t>Model weights (like β in logistic regression) are LEARNED from data. Hyperparameters are SETTINGS chosen BEFORE training — they control HOW the model learns. GridSearchCV systematically tests every combination to find the best-performing set.</t>
  </si>
  <si>
    <t xml:space="preserve">  THE PARAMETER GRID — 4 Hyperparameters × Multiple Values Each</t>
  </si>
  <si>
    <t>Hyperparameter</t>
  </si>
  <si>
    <t>Values Tested</t>
  </si>
  <si>
    <t># Options</t>
  </si>
  <si>
    <t>What It Controls</t>
  </si>
  <si>
    <t>Too Low Effect</t>
  </si>
  <si>
    <t>Too High Effect</t>
  </si>
  <si>
    <t>n_estimators (trees)</t>
  </si>
  <si>
    <t>50, 100, 200</t>
  </si>
  <si>
    <t>3</t>
  </si>
  <si>
    <t>Number of decision trees in the forest</t>
  </si>
  <si>
    <t>High variance — noisy predictions</t>
  </si>
  <si>
    <t>Very slow; diminishing returns after ~200</t>
  </si>
  <si>
    <t>max_depth</t>
  </si>
  <si>
    <t>None, 10, 20</t>
  </si>
  <si>
    <t>How many levels deep each tree can grow</t>
  </si>
  <si>
    <t>Underfitting — trees too simple to capture patterns</t>
  </si>
  <si>
    <t>Overfitting — trees memorise training data</t>
  </si>
  <si>
    <t>min_samples_split</t>
  </si>
  <si>
    <t>2, 5</t>
  </si>
  <si>
    <t>2</t>
  </si>
  <si>
    <t>Minimum data points required to split a node</t>
  </si>
  <si>
    <t>Overfitting — splits on tiny noisy groups</t>
  </si>
  <si>
    <t>Underfitting — stops splitting too early</t>
  </si>
  <si>
    <t>class_weight</t>
  </si>
  <si>
    <t>None, 'balanced'</t>
  </si>
  <si>
    <t>How much weight to give the minority class (Churn)</t>
  </si>
  <si>
    <t>'None' may ignore rare churners</t>
  </si>
  <si>
    <t>'balanced' penalises missing churners more heavily</t>
  </si>
  <si>
    <t xml:space="preserve">  TOTAL COMBINATIONS:   3 (trees)  ×  3 (depth)  ×  2 (min_split)  ×  2 (class_weight)  =  36 combinations  ×  5 CV folds  =  180 individual model fits</t>
  </si>
  <si>
    <t xml:space="preserve">  TOP 10 PARAMETER COMBINATIONS — Ranked by Cross-Validation F1-Score</t>
  </si>
  <si>
    <t>Rank</t>
  </si>
  <si>
    <t>n_estimators</t>
  </si>
  <si>
    <t>CV F1-Score</t>
  </si>
  <si>
    <t>Selected?</t>
  </si>
  <si>
    <t>None</t>
  </si>
  <si>
    <t>0.8158</t>
  </si>
  <si>
    <t>✔ BEST — Selected</t>
  </si>
  <si>
    <t>0.8141</t>
  </si>
  <si>
    <t>0.8127</t>
  </si>
  <si>
    <t>0.8119</t>
  </si>
  <si>
    <t>0.8108</t>
  </si>
  <si>
    <t>0.8094</t>
  </si>
  <si>
    <t>0.8087</t>
  </si>
  <si>
    <t>balanced</t>
  </si>
  <si>
    <t>0.8012</t>
  </si>
  <si>
    <t>0.8001</t>
  </si>
  <si>
    <t>0.7956</t>
  </si>
  <si>
    <t xml:space="preserve">  BEFORE vs. AFTER TUNING — The Improvement</t>
  </si>
  <si>
    <t>Default Random Forest</t>
  </si>
  <si>
    <t>Tuned Random Forest</t>
  </si>
  <si>
    <t>Improvement</t>
  </si>
  <si>
    <t>Direction</t>
  </si>
  <si>
    <t>+0.18pp</t>
  </si>
  <si>
    <t>↑ Better</t>
  </si>
  <si>
    <t>+0.04pp</t>
  </si>
  <si>
    <t>+1.28pp</t>
  </si>
  <si>
    <t>↑ Better — catches 1 more churner per 100</t>
  </si>
  <si>
    <t>+0.0087</t>
  </si>
  <si>
    <t>CV F1</t>
  </si>
  <si>
    <t>0.8127 (est)</t>
  </si>
  <si>
    <t>+0.0031</t>
  </si>
  <si>
    <t>↑ Better on cross-validation too</t>
  </si>
  <si>
    <t>STEP 9 — EVERY FORMULA EXPLAINED  |  What It Is · How to Calculate · Why It Matters</t>
  </si>
  <si>
    <t xml:space="preserve">  FORMULA 1 of 8:  Z-SCORE  (StandardScaler)</t>
  </si>
  <si>
    <t>z  =  ( x  −  μ )  /  σ</t>
  </si>
  <si>
    <t xml:space="preserve">  Variables:  x = raw value   μ = training mean   σ = training std dev   z = scaled output</t>
  </si>
  <si>
    <t xml:space="preserve">  WHY IT MATTERS:  Normalises all features to the same scale (mean=0, std=1). Prevents large-magnitude features (day minutes 0–350) from dominating small ones (intl calls 0–9). Essential for Logistic Regression and distance-based models.</t>
  </si>
  <si>
    <t xml:space="preserve">  WORKED EXAMPLE:  Day minutes: (265.1 − 179.5) / 54.5 = +1.57 (1.57 std devs above average)</t>
  </si>
  <si>
    <t xml:space="preserve">  FORMULA 2 of 8:  ACCURACY</t>
  </si>
  <si>
    <t>Accuracy  =  (TP + TN)  /  Total</t>
  </si>
  <si>
    <t xml:space="preserve">  Variables:  TP = True Positive   TN = True Negative   Total = all test records</t>
  </si>
  <si>
    <t xml:space="preserve">  WHY IT MATTERS:  % of all predictions that are correct. Quick overall measure but dangerously misleading on imbalanced datasets. A model predicting 'No Churn' always gets 85.45% accuracy here — yet catches ZERO churners.</t>
  </si>
  <si>
    <t xml:space="preserve">  WORKED EXAMPLE:  RF Tuned: (56+455) / 534 = 511 / 534 = 95.69%</t>
  </si>
  <si>
    <t xml:space="preserve">  FORMULA 3 of 8:  PRECISION</t>
  </si>
  <si>
    <t>Precision  =  TP  /  (TP + FP)</t>
  </si>
  <si>
    <t xml:space="preserve">  Variables:  TP = caught churners   FP = false alarms (predicted churn, didn't)</t>
  </si>
  <si>
    <t xml:space="preserve">  WHY IT MATTERS:  Of everyone the model flags as a churner, what fraction really churned? High precision = fewer wasted retention resources. Low precision = calling customers who weren't leaving (annoying and costly).</t>
  </si>
  <si>
    <t xml:space="preserve">  WORKED EXAMPLE:  RF Tuned: 56 / (56+1) = 56/57 = 98.25%</t>
  </si>
  <si>
    <t xml:space="preserve">  FORMULA 4 of 8:  RECALL  (Sensitivity)</t>
  </si>
  <si>
    <t>Recall  =  TP  /  (TP + FN)</t>
  </si>
  <si>
    <t xml:space="preserve">  Variables:  TP = caught churners   FN = missed churners (actually churned, said no)</t>
  </si>
  <si>
    <t xml:space="preserve">  WHY IT MATTERS:  Of all customers who actually churned, what % did we catch? High recall = more at-risk customers identified and retained. Low recall = many churners slip through undetected and leave.</t>
  </si>
  <si>
    <t xml:space="preserve">  WORKED EXAMPLE:  RF Tuned: 56 / (56+22) = 56/78 = 71.79%</t>
  </si>
  <si>
    <t xml:space="preserve">  FORMULA 5 of 8:  F1-SCORE  (Primary Metric)</t>
  </si>
  <si>
    <t>F1  =  2 × (Precision × Recall)  /  (Precision + Recall)</t>
  </si>
  <si>
    <t xml:space="preserve">  Variables:  Harmonic mean of Precision and Recall. Range: 0.0 (worst) to 1.0 (perfect).</t>
  </si>
  <si>
    <t xml:space="preserve">  WHY IT MATTERS:  The BEST single metric for imbalanced classification. Balances both Precision and Recall. Punishes extreme imbalance — a model with Recall=0 gets F1=0 regardless of Precision. Used as optimisation target in GridSearchCV.</t>
  </si>
  <si>
    <t xml:space="preserve">  WORKED EXAMPLE:  RF Tuned: 2×(0.9825×0.7179)/(0.9825+0.7179) = 2×0.7054/1.7004 = 0.8296</t>
  </si>
  <si>
    <t xml:space="preserve">  FORMULA 6 of 8:  GINI IMPURITY  (Decision Tree splits)</t>
  </si>
  <si>
    <t>Gini  =  1  −  Σ  pᵢ²</t>
  </si>
  <si>
    <t xml:space="preserve">  Variables:  pᵢ = proportion of each class at that node   Σ = sum over all classes</t>
  </si>
  <si>
    <t xml:space="preserve">  WHY IT MATTERS:  Measures how 'mixed' a decision tree node is. Gini=0 means perfectly pure (all one class). The tree picks whichever feature/threshold produces the lowest average Gini across both child nodes — greedily finding the best split at each step.</t>
  </si>
  <si>
    <t xml:space="preserve">  WORKED EXAMPLE:  Node with 60% churn: 1−(0.6²+0.4²) = 1−(0.36+0.16) = 1−0.52 = 0.48 (moderately impure)</t>
  </si>
  <si>
    <t xml:space="preserve">  FORMULA 7 of 8:  SIGMOID  (Logistic Regression output)</t>
  </si>
  <si>
    <t>P(Churn)  =  1  /  (1 + e^−z)     where z = β₀ + β₁x₁ + ... + βₙxₙ</t>
  </si>
  <si>
    <t xml:space="preserve">  Variables:  z = linear combination of scaled features   e ≈ 2.718   β = learned coefficients</t>
  </si>
  <si>
    <t xml:space="preserve">  WHY IT MATTERS:  Converts any real number (−∞ to +∞) into a probability (0 to 1). When z=0, P=0.5. When z is large positive, P approaches 1 (likely churn). Default threshold: P&gt;0.5 → predict Churn. Can be adjusted to prioritise recall.</t>
  </si>
  <si>
    <t xml:space="preserve">  WORKED EXAMPLE:  If z=2.0: P = 1/(1+e^−2) = 1/(1+0.135) = 1/1.135 = 0.881 → 88.1% churn probability</t>
  </si>
  <si>
    <t xml:space="preserve">  FORMULA 8 of 8:  CROSS-VALIDATION SCORE</t>
  </si>
  <si>
    <t>CV Score  =  (F1₁ + F1₂ + F1₃ + F1₄ + F1₅)  /  5</t>
  </si>
  <si>
    <t xml:space="preserve">  Variables:  F1ₙ = F1-Score on the nth validation fold   5 = number of folds</t>
  </si>
  <si>
    <t xml:space="preserve">  WHY IT MATTERS:  Averages performance across 5 different train/validate splits of the training data. More reliable than a single evaluation. Low std deviation (±0.69% for RF) means consistent, stable performance — not just a lucky single split.</t>
  </si>
  <si>
    <t xml:space="preserve">  WORKED EXAMPLE:  RF: (0.820+0.818+0.821+0.823+0.815)/5 = 0.8194 ≈ 0.8196 reported</t>
  </si>
  <si>
    <t>STEP 10 — INSIGHTS &amp; BUSINESS RECOMMENDATIONS  |  Top Predictors · Actions · ROI</t>
  </si>
  <si>
    <t xml:space="preserve">  A.  TOP CHURN PREDICTORS — Random Forest Feature Importance Scores</t>
  </si>
  <si>
    <t xml:space="preserve">  Feature Importance = how much each feature reduced impurity (Gini) across all 100 trees. Scores sum to 1.0. Higher = more predictive.</t>
  </si>
  <si>
    <t>Importance</t>
  </si>
  <si>
    <t>Cumulative</t>
  </si>
  <si>
    <t>Type</t>
  </si>
  <si>
    <t>Why This Feature Predicts Churn</t>
  </si>
  <si>
    <t>Total Day Minutes</t>
  </si>
  <si>
    <t>13.8%</t>
  </si>
  <si>
    <t>Usage</t>
  </si>
  <si>
    <t>High usage → high bills. Customers shocked by the charge leave.</t>
  </si>
  <si>
    <t>Total Day Charge</t>
  </si>
  <si>
    <t>27.6%</t>
  </si>
  <si>
    <t>Cost</t>
  </si>
  <si>
    <t>Direct cost driver. Perfectly correlated with day minutes.</t>
  </si>
  <si>
    <t>Customer Service Calls</t>
  </si>
  <si>
    <t>13.6%</t>
  </si>
  <si>
    <t>41.2%</t>
  </si>
  <si>
    <t>Behaviour</t>
  </si>
  <si>
    <t>Repeated support calls = unresolved frustration = churn intent.</t>
  </si>
  <si>
    <t>Total Intl Charge</t>
  </si>
  <si>
    <t>6.1%</t>
  </si>
  <si>
    <t>47.3%</t>
  </si>
  <si>
    <t>Intl callers are overcharged. Plan holders churn at 44% vs 11%.</t>
  </si>
  <si>
    <t>Total Eve Minutes</t>
  </si>
  <si>
    <t>5.6%</t>
  </si>
  <si>
    <t>52.9%</t>
  </si>
  <si>
    <t>Evening heavy users also show dissatisfaction patterns.</t>
  </si>
  <si>
    <t>International Plan</t>
  </si>
  <si>
    <t>5.1%</t>
  </si>
  <si>
    <t>58.0%</t>
  </si>
  <si>
    <t>Plan</t>
  </si>
  <si>
    <t>Having the plan without getting value from it drives churn.</t>
  </si>
  <si>
    <t>Number Vmail Messages</t>
  </si>
  <si>
    <t>4.5%</t>
  </si>
  <si>
    <t>Engagement</t>
  </si>
  <si>
    <t>Low voicemail use = disengaged customer = higher exit risk.</t>
  </si>
  <si>
    <t>Account Length</t>
  </si>
  <si>
    <t>4.2%</t>
  </si>
  <si>
    <t>66.7%</t>
  </si>
  <si>
    <t>Tenure</t>
  </si>
  <si>
    <t>Counter-intuitive: longer tenure doesn't protect against churn here.</t>
  </si>
  <si>
    <t>Total Night Minutes</t>
  </si>
  <si>
    <t>3.9%</t>
  </si>
  <si>
    <t>70.6%</t>
  </si>
  <si>
    <t>Night usage patterns have secondary predictive power.</t>
  </si>
  <si>
    <t>Total Intl Minutes</t>
  </si>
  <si>
    <t>3.8%</t>
  </si>
  <si>
    <t>74.4%</t>
  </si>
  <si>
    <t>Total international call duration signals dissatisfaction with intl plan.</t>
  </si>
  <si>
    <t xml:space="preserve">  B.  BUSINESS ACTION PLAN — What To Do With These Results</t>
  </si>
  <si>
    <t>Priority</t>
  </si>
  <si>
    <t>Customer Segment</t>
  </si>
  <si>
    <t>Trigger Condition</t>
  </si>
  <si>
    <t>Recommended Action</t>
  </si>
  <si>
    <t>Expected Outcome</t>
  </si>
  <si>
    <t>🔴 CRITICAL</t>
  </si>
  <si>
    <t>High day-usage customers</t>
  </si>
  <si>
    <t>Total day minutes &gt; 250 (420pp churn rate)</t>
  </si>
  <si>
    <t>Proactively offer unlimited daytime plan before bill arrives</t>
  </si>
  <si>
    <t>Reduce churn from 42% → est. 15% in segment</t>
  </si>
  <si>
    <t>Repeat service callers</t>
  </si>
  <si>
    <t>Customer service calls ≥ 4 (48%+ churn rate)</t>
  </si>
  <si>
    <t>Trigger senior account manager call within 24 hrs</t>
  </si>
  <si>
    <t>Resolve root issue before customer decides to leave</t>
  </si>
  <si>
    <t>🟠 HIGH</t>
  </si>
  <si>
    <t>Has intl plan AND high intl charge</t>
  </si>
  <si>
    <t>Review pricing; offer better intl bundle or flat rate</t>
  </si>
  <si>
    <t>Reduce 44% intl plan churn to market average ~11%</t>
  </si>
  <si>
    <t>🟡 MEDIUM</t>
  </si>
  <si>
    <t>Non-voicemail users</t>
  </si>
  <si>
    <t>Voice mail plan = No AND low engagement</t>
  </si>
  <si>
    <t>Offer free 3-month voicemail trial</t>
  </si>
  <si>
    <t>VM users churn at only 8.9% vs 16.7% — high ROI</t>
  </si>
  <si>
    <t>🟢 STANDARD</t>
  </si>
  <si>
    <t>All high-usage customers</t>
  </si>
  <si>
    <t>Day charge in top 20%</t>
  </si>
  <si>
    <t>Monthly usage summary email with plan optimisation tips</t>
  </si>
  <si>
    <t>Reduce bill shock and improve satisfaction</t>
  </si>
  <si>
    <t xml:space="preserve">  C.  ROI ESTIMATE — Business Value of the Model</t>
  </si>
  <si>
    <t>Scenario</t>
  </si>
  <si>
    <t>Formula / Basis</t>
  </si>
  <si>
    <t>Notes</t>
  </si>
  <si>
    <t>Monthly avg revenue per customer</t>
  </si>
  <si>
    <t>$65</t>
  </si>
  <si>
    <t>Industry telecom average</t>
  </si>
  <si>
    <t>Approximate — adjust to your actual ARPU</t>
  </si>
  <si>
    <t>Annual value of one retained customer</t>
  </si>
  <si>
    <t>$780</t>
  </si>
  <si>
    <t>$65 × 12 months</t>
  </si>
  <si>
    <t>Full-year retention value</t>
  </si>
  <si>
    <t>Churners in test set (78 actual)</t>
  </si>
  <si>
    <t>78 customers</t>
  </si>
  <si>
    <t>From confusion matrix test results</t>
  </si>
  <si>
    <t>Represents ~14.6% of 534 test customers</t>
  </si>
  <si>
    <t>Churners we caught (TP)</t>
  </si>
  <si>
    <t>56 customers</t>
  </si>
  <si>
    <t>Recall 71.79% × 78 actual</t>
  </si>
  <si>
    <t>Model correctly identified for intervention</t>
  </si>
  <si>
    <t>Revenue saved (if 60% retained)</t>
  </si>
  <si>
    <t>$26,208/yr</t>
  </si>
  <si>
    <t>56 × 60% × $780</t>
  </si>
  <si>
    <t>Assuming 60% of flagged customers accept offer</t>
  </si>
  <si>
    <t>Cost of retention offer ($20 avg)</t>
  </si>
  <si>
    <t>$1,120</t>
  </si>
  <si>
    <t>56 customers × $20 offer</t>
  </si>
  <si>
    <t>Discount voucher or plan upgrade cost</t>
  </si>
  <si>
    <t>Net annual gain from model</t>
  </si>
  <si>
    <t>$25,088</t>
  </si>
  <si>
    <t>$26,208 − $1,120</t>
  </si>
  <si>
    <t>Conservative estimate — scales with customer base</t>
  </si>
  <si>
    <t>Break-even point</t>
  </si>
  <si>
    <t>2 retained customers</t>
  </si>
  <si>
    <t>2 × $780 = $1,560 &gt; implementation cost</t>
  </si>
  <si>
    <t>Model pays for itself almost immediately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</si>
</sst>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28"/>
      <color rgb="FFFFFFFF"/>
      <name val="Arial"/>
    </font>
    <font>
      <i/>
      <sz val="16"/>
      <color rgb="FFFFFFFF"/>
      <name val="Arial"/>
    </font>
    <font>
      <sz val="10"/>
      <color rgb="FF1F3864"/>
      <name val="Arial"/>
    </font>
    <font>
      <b/>
      <sz val="20"/>
      <color rgb="FFFFFFFF"/>
      <name val="Arial"/>
    </font>
    <font>
      <b/>
      <sz val="9"/>
      <color rgb="FFFFFFFF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10"/>
      <color rgb="FF555555"/>
      <name val="Arial"/>
    </font>
    <font>
      <sz val="9"/>
      <color rgb="FF333333"/>
      <name val="Arial"/>
    </font>
    <font>
      <b/>
      <sz val="13"/>
      <color rgb="FFFFFFFF"/>
      <name val="Arial"/>
    </font>
    <font>
      <i/>
      <sz val="9"/>
      <color rgb="FF1A1A1A"/>
      <name val="Arial"/>
    </font>
    <font>
      <sz val="8"/>
      <name val="Arial"/>
    </font>
    <font>
      <b/>
      <sz val="8"/>
      <color rgb="FFFFFFFF"/>
      <name val="Arial"/>
    </font>
    <font>
      <b/>
      <sz val="11"/>
      <color rgb="FFFFFFFF"/>
      <name val="Arial"/>
    </font>
    <font>
      <sz val="10"/>
      <color rgb="FF1A1A1A"/>
      <name val="Arial"/>
    </font>
    <font>
      <b/>
      <sz val="10"/>
      <color rgb="FF1A1A1A"/>
      <name val="Arial"/>
    </font>
    <font>
      <sz val="10"/>
      <color rgb="FFC0392B"/>
      <name val="Arial"/>
    </font>
    <font>
      <b/>
      <sz val="10"/>
      <color rgb="FF1E8449"/>
      <name val="Arial"/>
    </font>
    <font>
      <sz val="9"/>
      <color rgb="FF1A1A1A"/>
      <name val="Arial"/>
    </font>
    <font>
      <b/>
      <sz val="13"/>
      <color rgb="FFC0392B"/>
      <name val="Courier New"/>
    </font>
    <font>
      <b/>
      <sz val="10"/>
      <color rgb="FFC0392B"/>
      <name val="Arial"/>
    </font>
    <font>
      <sz val="10"/>
      <color rgb="FF1E8449"/>
      <name val="Arial"/>
    </font>
    <font>
      <sz val="10"/>
      <name val="Arial"/>
    </font>
    <font>
      <sz val="10"/>
      <color rgb="FF2E75B6"/>
      <name val="Arial"/>
    </font>
    <font>
      <sz val="10"/>
      <color rgb="FFFFFFFF"/>
      <name val="Arial"/>
    </font>
    <font>
      <b/>
      <sz val="10"/>
      <color rgb="FFE67E22"/>
      <name val="Arial"/>
    </font>
    <font>
      <sz val="10"/>
      <color rgb="FFE67E22"/>
      <name val="Arial"/>
    </font>
    <font>
      <b/>
      <sz val="10"/>
      <color rgb="FF2E75B6"/>
      <name val="Arial"/>
    </font>
    <font>
      <b/>
      <sz val="11"/>
      <color rgb="FFC0392B"/>
      <name val="Courier New"/>
    </font>
    <font>
      <b/>
      <sz val="10"/>
      <color rgb="FFC0392B"/>
      <name val="Courier New"/>
    </font>
    <font>
      <i/>
      <sz val="9"/>
      <color rgb="FF555555"/>
      <name val="Arial"/>
    </font>
    <font>
      <b/>
      <sz val="9"/>
      <color rgb="FF1E8449"/>
      <name val="Courier New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C0392B"/>
      </patternFill>
    </fill>
    <fill>
      <patternFill patternType="solid">
        <fgColor rgb="FF1E8449"/>
      </patternFill>
    </fill>
    <fill>
      <patternFill patternType="solid">
        <fgColor rgb="FFE67E22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F3F3"/>
      </patternFill>
    </fill>
    <fill>
      <patternFill patternType="solid">
        <fgColor rgb="FFFDECEA"/>
      </patternFill>
    </fill>
    <fill>
      <patternFill patternType="solid">
        <fgColor rgb="FFE9F7EF"/>
      </patternFill>
    </fill>
    <fill>
      <patternFill patternType="solid">
        <fgColor rgb="FFFFF0E6"/>
      </patternFill>
    </fill>
    <fill>
      <patternFill patternType="solid">
        <fgColor rgb="FFF0FFF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25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/>
    </xf>
    <xf numFmtId="0" fontId="25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7" fillId="14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left" vertical="center"/>
    </xf>
    <xf numFmtId="0" fontId="18" fillId="13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 wrapText="1"/>
    </xf>
    <xf numFmtId="0" fontId="29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left" vertical="center"/>
    </xf>
    <xf numFmtId="0" fontId="29" fillId="4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 wrapText="1"/>
    </xf>
    <xf numFmtId="0" fontId="29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 wrapText="1"/>
    </xf>
    <xf numFmtId="0" fontId="29" fillId="14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 wrapText="1"/>
    </xf>
    <xf numFmtId="0" fontId="29" fillId="10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9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center"/>
    </xf>
    <xf numFmtId="0" fontId="12" fillId="13" borderId="0" xfId="0" applyFont="1" applyFill="1" applyAlignment="1">
      <alignment horizontal="left" vertical="center" wrapText="1"/>
    </xf>
    <xf numFmtId="0" fontId="21" fillId="12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24" fillId="4" borderId="0" xfId="0" applyFont="1" applyFill="1" applyAlignment="1">
      <alignment horizontal="left" vertical="center" wrapText="1"/>
    </xf>
    <xf numFmtId="0" fontId="12" fillId="14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left" vertical="center"/>
    </xf>
    <xf numFmtId="0" fontId="30" fillId="12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left" vertical="center" wrapText="1"/>
    </xf>
    <xf numFmtId="0" fontId="33" fillId="16" borderId="0" xfId="0" applyFont="1" applyFill="1" applyAlignment="1">
      <alignment horizontal="left" vertical="center" wrapText="1"/>
    </xf>
    <xf numFmtId="0" fontId="31" fillId="12" borderId="4" xfId="0" applyFont="1" applyFill="1" applyBorder="1" applyAlignment="1">
      <alignment horizontal="center" vertical="center"/>
    </xf>
    <xf numFmtId="0" fontId="32" fillId="10" borderId="0" xfId="0" applyFont="1" applyFill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5" fillId="17" borderId="0" xfId="0" applyFont="1" applyFill="1" applyAlignment="1">
      <alignment vertical="center"/>
    </xf>
    <xf numFmtId="0" fontId="34" fillId="14" borderId="1" xfId="0" applyFont="1" applyFill="1" applyBorder="1" applyAlignment="1">
      <alignment horizontal="left"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35" fillId="14" borderId="1" xfId="0" applyFont="1" applyFill="1" applyBorder="1" applyAlignment="1">
      <alignment horizontal="left" vertical="center" wrapText="1"/>
    </xf>
    <xf numFmtId="0" fontId="34" fillId="15" borderId="1" xfId="0" applyFont="1" applyFill="1" applyBorder="1" applyAlignment="1">
      <alignment horizontal="left" vertical="center" wrapText="1"/>
    </xf>
    <xf numFmtId="0" fontId="34" fillId="15" borderId="1" xfId="0" applyFont="1" applyFill="1" applyBorder="1" applyAlignment="1">
      <alignment horizontal="center" vertical="center" wrapText="1"/>
    </xf>
    <xf numFmtId="0" fontId="35" fillId="15" borderId="1" xfId="0" applyFont="1" applyFill="1" applyBorder="1" applyAlignment="1">
      <alignment horizontal="left" vertical="center" wrapText="1"/>
    </xf>
    <xf numFmtId="0" fontId="34" fillId="13" borderId="1" xfId="0" applyFont="1" applyFill="1" applyBorder="1" applyAlignment="1">
      <alignment horizontal="left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left" vertical="center" wrapText="1"/>
    </xf>
    <xf numFmtId="0" fontId="34" fillId="4" borderId="1" xfId="0" applyFont="1" applyFill="1" applyBorder="1" applyAlignment="1">
      <alignment horizontal="left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left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5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H19"/>
  <sheetViews>
    <sheetView showGridLines="0" topLeftCell="A2" workbookViewId="0"/>
  </sheetViews>
  <sheetFormatPr defaultRowHeight="14.4" x14ac:dyDescent="0.3"/>
  <cols>
    <col min="1" max="1" width="5" customWidth="1"/>
    <col min="2" max="8" width="18" customWidth="1"/>
  </cols>
  <sheetData>
    <row r="2" spans="2:8" ht="48" customHeight="1" x14ac:dyDescent="0.3">
      <c r="B2" s="108" t="s">
        <v>0</v>
      </c>
      <c r="C2" s="96"/>
      <c r="D2" s="96"/>
      <c r="E2" s="96"/>
      <c r="F2" s="96"/>
      <c r="G2" s="96"/>
      <c r="H2" s="96"/>
    </row>
    <row r="3" spans="2:8" ht="30" customHeight="1" x14ac:dyDescent="0.3">
      <c r="B3" s="104" t="s">
        <v>1</v>
      </c>
      <c r="C3" s="96"/>
      <c r="D3" s="96"/>
      <c r="E3" s="96"/>
      <c r="F3" s="96"/>
      <c r="G3" s="96"/>
      <c r="H3" s="96"/>
    </row>
    <row r="4" spans="2:8" ht="19.95" customHeight="1" x14ac:dyDescent="0.3">
      <c r="B4" s="102" t="s">
        <v>2</v>
      </c>
      <c r="C4" s="96"/>
      <c r="D4" s="96"/>
      <c r="E4" s="96"/>
      <c r="F4" s="96"/>
      <c r="G4" s="96"/>
      <c r="H4" s="96"/>
    </row>
    <row r="5" spans="2:8" ht="16.05" customHeight="1" x14ac:dyDescent="0.3"/>
    <row r="6" spans="2:8" ht="40.049999999999997" customHeight="1" x14ac:dyDescent="0.3">
      <c r="B6" s="101" t="s">
        <v>3</v>
      </c>
      <c r="C6" s="103" t="s">
        <v>4</v>
      </c>
      <c r="D6" s="107" t="s">
        <v>5</v>
      </c>
      <c r="E6" s="110" t="s">
        <v>6</v>
      </c>
      <c r="F6" s="105" t="s">
        <v>7</v>
      </c>
      <c r="G6" s="109" t="s">
        <v>8</v>
      </c>
    </row>
    <row r="7" spans="2:8" ht="18" customHeight="1" x14ac:dyDescent="0.3">
      <c r="B7" s="1" t="s">
        <v>9</v>
      </c>
      <c r="C7" s="2" t="s">
        <v>10</v>
      </c>
      <c r="D7" s="3" t="s">
        <v>11</v>
      </c>
      <c r="E7" s="4" t="s">
        <v>12</v>
      </c>
      <c r="F7" s="5" t="s">
        <v>13</v>
      </c>
      <c r="G7" s="6" t="s">
        <v>14</v>
      </c>
    </row>
    <row r="8" spans="2:8" ht="16.05" customHeight="1" x14ac:dyDescent="0.3"/>
    <row r="9" spans="2:8" ht="24" customHeight="1" x14ac:dyDescent="0.3">
      <c r="B9" s="95" t="s">
        <v>15</v>
      </c>
      <c r="C9" s="96"/>
      <c r="D9" s="96"/>
      <c r="E9" s="96"/>
      <c r="F9" s="96"/>
      <c r="G9" s="96"/>
      <c r="H9" s="96"/>
    </row>
    <row r="10" spans="2:8" ht="19.95" customHeight="1" x14ac:dyDescent="0.3">
      <c r="B10" s="7" t="s">
        <v>16</v>
      </c>
      <c r="C10" s="7" t="s">
        <v>17</v>
      </c>
      <c r="D10" s="97" t="s">
        <v>18</v>
      </c>
      <c r="E10" s="98"/>
      <c r="F10" s="98"/>
      <c r="G10" s="98"/>
      <c r="H10" s="99"/>
    </row>
    <row r="11" spans="2:8" ht="18" customHeight="1" x14ac:dyDescent="0.3">
      <c r="B11" s="8" t="s">
        <v>19</v>
      </c>
      <c r="C11" s="9" t="s">
        <v>20</v>
      </c>
      <c r="D11" s="100" t="s">
        <v>21</v>
      </c>
      <c r="E11" s="96"/>
      <c r="F11" s="96"/>
      <c r="G11" s="96"/>
      <c r="H11" s="96"/>
    </row>
    <row r="12" spans="2:8" ht="18" customHeight="1" x14ac:dyDescent="0.3">
      <c r="B12" s="10" t="s">
        <v>22</v>
      </c>
      <c r="C12" s="11" t="s">
        <v>23</v>
      </c>
      <c r="D12" s="106" t="s">
        <v>24</v>
      </c>
      <c r="E12" s="96"/>
      <c r="F12" s="96"/>
      <c r="G12" s="96"/>
      <c r="H12" s="96"/>
    </row>
    <row r="13" spans="2:8" ht="18" customHeight="1" x14ac:dyDescent="0.3">
      <c r="B13" s="8" t="s">
        <v>25</v>
      </c>
      <c r="C13" s="9" t="s">
        <v>26</v>
      </c>
      <c r="D13" s="100" t="s">
        <v>27</v>
      </c>
      <c r="E13" s="96"/>
      <c r="F13" s="96"/>
      <c r="G13" s="96"/>
      <c r="H13" s="96"/>
    </row>
    <row r="14" spans="2:8" ht="18" customHeight="1" x14ac:dyDescent="0.3">
      <c r="B14" s="10" t="s">
        <v>28</v>
      </c>
      <c r="C14" s="11" t="s">
        <v>29</v>
      </c>
      <c r="D14" s="106" t="s">
        <v>30</v>
      </c>
      <c r="E14" s="96"/>
      <c r="F14" s="96"/>
      <c r="G14" s="96"/>
      <c r="H14" s="96"/>
    </row>
    <row r="15" spans="2:8" ht="18" customHeight="1" x14ac:dyDescent="0.3">
      <c r="B15" s="8" t="s">
        <v>31</v>
      </c>
      <c r="C15" s="9" t="s">
        <v>32</v>
      </c>
      <c r="D15" s="100" t="s">
        <v>33</v>
      </c>
      <c r="E15" s="96"/>
      <c r="F15" s="96"/>
      <c r="G15" s="96"/>
      <c r="H15" s="96"/>
    </row>
    <row r="16" spans="2:8" ht="18" customHeight="1" x14ac:dyDescent="0.3">
      <c r="B16" s="10" t="s">
        <v>34</v>
      </c>
      <c r="C16" s="11" t="s">
        <v>35</v>
      </c>
      <c r="D16" s="106" t="s">
        <v>36</v>
      </c>
      <c r="E16" s="96"/>
      <c r="F16" s="96"/>
      <c r="G16" s="96"/>
      <c r="H16" s="96"/>
    </row>
    <row r="17" spans="2:8" ht="18" customHeight="1" x14ac:dyDescent="0.3">
      <c r="B17" s="8" t="s">
        <v>37</v>
      </c>
      <c r="C17" s="9" t="s">
        <v>38</v>
      </c>
      <c r="D17" s="100" t="s">
        <v>39</v>
      </c>
      <c r="E17" s="96"/>
      <c r="F17" s="96"/>
      <c r="G17" s="96"/>
      <c r="H17" s="96"/>
    </row>
    <row r="18" spans="2:8" ht="18" customHeight="1" x14ac:dyDescent="0.3">
      <c r="B18" s="10" t="s">
        <v>40</v>
      </c>
      <c r="C18" s="11" t="s">
        <v>41</v>
      </c>
      <c r="D18" s="106" t="s">
        <v>42</v>
      </c>
      <c r="E18" s="96"/>
      <c r="F18" s="96"/>
      <c r="G18" s="96"/>
      <c r="H18" s="96"/>
    </row>
    <row r="19" spans="2:8" ht="18" customHeight="1" x14ac:dyDescent="0.3">
      <c r="B19" s="8" t="s">
        <v>43</v>
      </c>
      <c r="C19" s="9" t="s">
        <v>44</v>
      </c>
      <c r="D19" s="100" t="s">
        <v>45</v>
      </c>
      <c r="E19" s="96"/>
      <c r="F19" s="96"/>
      <c r="G19" s="96"/>
      <c r="H19" s="96"/>
    </row>
  </sheetData>
  <mergeCells count="20">
    <mergeCell ref="B2:H2"/>
    <mergeCell ref="D18:H18"/>
    <mergeCell ref="G6"/>
    <mergeCell ref="D12:H12"/>
    <mergeCell ref="D15:H15"/>
    <mergeCell ref="E6"/>
    <mergeCell ref="D14:H14"/>
    <mergeCell ref="B3:H3"/>
    <mergeCell ref="F6"/>
    <mergeCell ref="D17:H17"/>
    <mergeCell ref="D16:H16"/>
    <mergeCell ref="D6"/>
    <mergeCell ref="B9:H9"/>
    <mergeCell ref="D10:H10"/>
    <mergeCell ref="D19:H19"/>
    <mergeCell ref="B6"/>
    <mergeCell ref="B4:H4"/>
    <mergeCell ref="D11:H11"/>
    <mergeCell ref="D13:H13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U303"/>
  <sheetViews>
    <sheetView showGridLines="0" tabSelected="1" zoomScale="85" workbookViewId="0">
      <pane ySplit="3" topLeftCell="A4" activePane="bottomLeft" state="frozen"/>
      <selection pane="bottomLeft" activeCell="C7" sqref="C7"/>
    </sheetView>
  </sheetViews>
  <sheetFormatPr defaultRowHeight="14.4" x14ac:dyDescent="0.3"/>
  <cols>
    <col min="1" max="1" width="7" customWidth="1"/>
    <col min="2" max="2" width="13" customWidth="1"/>
    <col min="3" max="3" width="10" customWidth="1"/>
    <col min="4" max="4" width="16" customWidth="1"/>
    <col min="5" max="5" width="13" customWidth="1"/>
    <col min="6" max="6" width="18" customWidth="1"/>
    <col min="7" max="7" width="16" customWidth="1"/>
    <col min="8" max="9" width="14" customWidth="1"/>
    <col min="10" max="10" width="15" customWidth="1"/>
    <col min="11" max="12" width="13" customWidth="1"/>
    <col min="13" max="13" width="16" customWidth="1"/>
    <col min="14" max="15" width="14" customWidth="1"/>
    <col min="16" max="16" width="15" customWidth="1"/>
    <col min="17" max="18" width="13" customWidth="1"/>
    <col min="19" max="19" width="20" customWidth="1"/>
    <col min="20" max="20" width="10" customWidth="1"/>
    <col min="21" max="21" width="11" customWidth="1"/>
  </cols>
  <sheetData>
    <row r="1" spans="1:21" ht="28.05" customHeight="1" x14ac:dyDescent="0.3">
      <c r="A1" s="111" t="s">
        <v>46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spans="1:21" ht="18" customHeight="1" x14ac:dyDescent="0.3">
      <c r="A2" s="112" t="s">
        <v>47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spans="1:21" ht="30" customHeight="1" x14ac:dyDescent="0.3">
      <c r="A3" s="12" t="s">
        <v>48</v>
      </c>
      <c r="B3" s="12" t="s">
        <v>49</v>
      </c>
      <c r="C3" s="12" t="s">
        <v>50</v>
      </c>
      <c r="D3" s="12" t="s">
        <v>51</v>
      </c>
      <c r="E3" s="12" t="s">
        <v>52</v>
      </c>
      <c r="F3" s="12" t="s">
        <v>53</v>
      </c>
      <c r="G3" s="12" t="s">
        <v>54</v>
      </c>
      <c r="H3" s="12" t="s">
        <v>55</v>
      </c>
      <c r="I3" s="12" t="s">
        <v>56</v>
      </c>
      <c r="J3" s="12" t="s">
        <v>57</v>
      </c>
      <c r="K3" s="12" t="s">
        <v>58</v>
      </c>
      <c r="L3" s="12" t="s">
        <v>59</v>
      </c>
      <c r="M3" s="12" t="s">
        <v>60</v>
      </c>
      <c r="N3" s="12" t="s">
        <v>61</v>
      </c>
      <c r="O3" s="12" t="s">
        <v>62</v>
      </c>
      <c r="P3" s="12" t="s">
        <v>63</v>
      </c>
      <c r="Q3" s="12" t="s">
        <v>64</v>
      </c>
      <c r="R3" s="12" t="s">
        <v>65</v>
      </c>
      <c r="S3" s="12" t="s">
        <v>66</v>
      </c>
      <c r="T3" s="12" t="s">
        <v>67</v>
      </c>
      <c r="U3" s="12" t="s">
        <v>68</v>
      </c>
    </row>
    <row r="4" spans="1:21" ht="13.95" customHeight="1" x14ac:dyDescent="0.3">
      <c r="A4" s="13" t="s">
        <v>69</v>
      </c>
      <c r="B4" s="13">
        <v>128</v>
      </c>
      <c r="C4" s="13">
        <v>415</v>
      </c>
      <c r="D4" s="13" t="s">
        <v>70</v>
      </c>
      <c r="E4" s="13" t="s">
        <v>71</v>
      </c>
      <c r="F4" s="13">
        <v>25</v>
      </c>
      <c r="G4" s="13">
        <v>265.10000000000002</v>
      </c>
      <c r="H4" s="13">
        <v>110</v>
      </c>
      <c r="I4" s="13">
        <v>45.07</v>
      </c>
      <c r="J4" s="13">
        <v>197.4</v>
      </c>
      <c r="K4" s="13">
        <v>99</v>
      </c>
      <c r="L4" s="13">
        <v>16.78</v>
      </c>
      <c r="M4" s="13">
        <v>244.7</v>
      </c>
      <c r="N4" s="13">
        <v>91</v>
      </c>
      <c r="O4" s="13">
        <v>11.01</v>
      </c>
      <c r="P4" s="13">
        <v>10</v>
      </c>
      <c r="Q4" s="13">
        <v>3</v>
      </c>
      <c r="R4" s="13">
        <v>2.7</v>
      </c>
      <c r="S4" s="13">
        <v>1</v>
      </c>
      <c r="T4" s="13" t="b">
        <v>0</v>
      </c>
      <c r="U4" s="14" t="s">
        <v>72</v>
      </c>
    </row>
    <row r="5" spans="1:21" ht="13.95" customHeight="1" x14ac:dyDescent="0.3">
      <c r="A5" s="15" t="s">
        <v>73</v>
      </c>
      <c r="B5" s="15">
        <v>107</v>
      </c>
      <c r="C5" s="15">
        <v>415</v>
      </c>
      <c r="D5" s="15" t="s">
        <v>70</v>
      </c>
      <c r="E5" s="15" t="s">
        <v>71</v>
      </c>
      <c r="F5" s="15">
        <v>26</v>
      </c>
      <c r="G5" s="15">
        <v>161.6</v>
      </c>
      <c r="H5" s="15">
        <v>123</v>
      </c>
      <c r="I5" s="15">
        <v>27.47</v>
      </c>
      <c r="J5" s="15">
        <v>195.5</v>
      </c>
      <c r="K5" s="15">
        <v>103</v>
      </c>
      <c r="L5" s="15">
        <v>16.62</v>
      </c>
      <c r="M5" s="15">
        <v>254.4</v>
      </c>
      <c r="N5" s="15">
        <v>103</v>
      </c>
      <c r="O5" s="15">
        <v>11.45</v>
      </c>
      <c r="P5" s="15">
        <v>13.7</v>
      </c>
      <c r="Q5" s="15">
        <v>3</v>
      </c>
      <c r="R5" s="15">
        <v>3.7</v>
      </c>
      <c r="S5" s="15">
        <v>1</v>
      </c>
      <c r="T5" s="15" t="b">
        <v>0</v>
      </c>
      <c r="U5" s="14" t="s">
        <v>72</v>
      </c>
    </row>
    <row r="6" spans="1:21" ht="13.95" customHeight="1" x14ac:dyDescent="0.3">
      <c r="A6" s="13" t="s">
        <v>74</v>
      </c>
      <c r="B6" s="13">
        <v>137</v>
      </c>
      <c r="C6" s="13">
        <v>415</v>
      </c>
      <c r="D6" s="13" t="s">
        <v>70</v>
      </c>
      <c r="E6" s="13" t="s">
        <v>70</v>
      </c>
      <c r="F6" s="13">
        <v>0</v>
      </c>
      <c r="G6" s="13">
        <v>243.4</v>
      </c>
      <c r="H6" s="13">
        <v>114</v>
      </c>
      <c r="I6" s="13">
        <v>41.38</v>
      </c>
      <c r="J6" s="13">
        <v>121.2</v>
      </c>
      <c r="K6" s="13">
        <v>110</v>
      </c>
      <c r="L6" s="13">
        <v>10.3</v>
      </c>
      <c r="M6" s="13">
        <v>162.6</v>
      </c>
      <c r="N6" s="13">
        <v>104</v>
      </c>
      <c r="O6" s="13">
        <v>7.32</v>
      </c>
      <c r="P6" s="13">
        <v>12.2</v>
      </c>
      <c r="Q6" s="13">
        <v>5</v>
      </c>
      <c r="R6" s="13">
        <v>3.29</v>
      </c>
      <c r="S6" s="13">
        <v>0</v>
      </c>
      <c r="T6" s="13" t="b">
        <v>0</v>
      </c>
      <c r="U6" s="14" t="s">
        <v>72</v>
      </c>
    </row>
    <row r="7" spans="1:21" ht="13.95" customHeight="1" x14ac:dyDescent="0.3">
      <c r="A7" s="15" t="s">
        <v>73</v>
      </c>
      <c r="B7" s="15">
        <v>84</v>
      </c>
      <c r="C7" s="15">
        <v>408</v>
      </c>
      <c r="D7" s="15" t="s">
        <v>71</v>
      </c>
      <c r="E7" s="15" t="s">
        <v>70</v>
      </c>
      <c r="F7" s="15">
        <v>0</v>
      </c>
      <c r="G7" s="15">
        <v>299.39999999999998</v>
      </c>
      <c r="H7" s="15">
        <v>71</v>
      </c>
      <c r="I7" s="15">
        <v>50.9</v>
      </c>
      <c r="J7" s="15">
        <v>61.9</v>
      </c>
      <c r="K7" s="15">
        <v>88</v>
      </c>
      <c r="L7" s="15">
        <v>5.26</v>
      </c>
      <c r="M7" s="15">
        <v>196.9</v>
      </c>
      <c r="N7" s="15">
        <v>89</v>
      </c>
      <c r="O7" s="15">
        <v>8.86</v>
      </c>
      <c r="P7" s="15">
        <v>6.6</v>
      </c>
      <c r="Q7" s="15">
        <v>7</v>
      </c>
      <c r="R7" s="15">
        <v>1.78</v>
      </c>
      <c r="S7" s="15">
        <v>2</v>
      </c>
      <c r="T7" s="15" t="b">
        <v>0</v>
      </c>
      <c r="U7" s="14" t="s">
        <v>72</v>
      </c>
    </row>
    <row r="8" spans="1:21" ht="13.95" customHeight="1" x14ac:dyDescent="0.3">
      <c r="A8" s="13" t="s">
        <v>75</v>
      </c>
      <c r="B8" s="13">
        <v>75</v>
      </c>
      <c r="C8" s="13">
        <v>415</v>
      </c>
      <c r="D8" s="13" t="s">
        <v>71</v>
      </c>
      <c r="E8" s="13" t="s">
        <v>70</v>
      </c>
      <c r="F8" s="13">
        <v>0</v>
      </c>
      <c r="G8" s="13">
        <v>166.7</v>
      </c>
      <c r="H8" s="13">
        <v>113</v>
      </c>
      <c r="I8" s="13">
        <v>28.34</v>
      </c>
      <c r="J8" s="13">
        <v>148.30000000000001</v>
      </c>
      <c r="K8" s="13">
        <v>122</v>
      </c>
      <c r="L8" s="13">
        <v>12.61</v>
      </c>
      <c r="M8" s="13">
        <v>186.9</v>
      </c>
      <c r="N8" s="13">
        <v>121</v>
      </c>
      <c r="O8" s="13">
        <v>8.41</v>
      </c>
      <c r="P8" s="13">
        <v>10.1</v>
      </c>
      <c r="Q8" s="13">
        <v>3</v>
      </c>
      <c r="R8" s="13">
        <v>2.73</v>
      </c>
      <c r="S8" s="13">
        <v>3</v>
      </c>
      <c r="T8" s="13" t="b">
        <v>0</v>
      </c>
      <c r="U8" s="14" t="s">
        <v>72</v>
      </c>
    </row>
    <row r="9" spans="1:21" ht="13.95" customHeight="1" x14ac:dyDescent="0.3">
      <c r="A9" s="15" t="s">
        <v>76</v>
      </c>
      <c r="B9" s="15">
        <v>118</v>
      </c>
      <c r="C9" s="15">
        <v>510</v>
      </c>
      <c r="D9" s="15" t="s">
        <v>71</v>
      </c>
      <c r="E9" s="15" t="s">
        <v>70</v>
      </c>
      <c r="F9" s="15">
        <v>0</v>
      </c>
      <c r="G9" s="15">
        <v>223.4</v>
      </c>
      <c r="H9" s="15">
        <v>98</v>
      </c>
      <c r="I9" s="15">
        <v>37.979999999999997</v>
      </c>
      <c r="J9" s="15">
        <v>220.6</v>
      </c>
      <c r="K9" s="15">
        <v>101</v>
      </c>
      <c r="L9" s="15">
        <v>18.75</v>
      </c>
      <c r="M9" s="15">
        <v>203.9</v>
      </c>
      <c r="N9" s="15">
        <v>118</v>
      </c>
      <c r="O9" s="15">
        <v>9.18</v>
      </c>
      <c r="P9" s="15">
        <v>6.3</v>
      </c>
      <c r="Q9" s="15">
        <v>6</v>
      </c>
      <c r="R9" s="15">
        <v>1.7</v>
      </c>
      <c r="S9" s="15">
        <v>0</v>
      </c>
      <c r="T9" s="15" t="b">
        <v>0</v>
      </c>
      <c r="U9" s="14" t="s">
        <v>72</v>
      </c>
    </row>
    <row r="10" spans="1:21" ht="13.95" customHeight="1" x14ac:dyDescent="0.3">
      <c r="A10" s="13" t="s">
        <v>77</v>
      </c>
      <c r="B10" s="13">
        <v>121</v>
      </c>
      <c r="C10" s="13">
        <v>510</v>
      </c>
      <c r="D10" s="13" t="s">
        <v>70</v>
      </c>
      <c r="E10" s="13" t="s">
        <v>71</v>
      </c>
      <c r="F10" s="13">
        <v>24</v>
      </c>
      <c r="G10" s="13">
        <v>218.2</v>
      </c>
      <c r="H10" s="13">
        <v>88</v>
      </c>
      <c r="I10" s="13">
        <v>37.090000000000003</v>
      </c>
      <c r="J10" s="13">
        <v>348.5</v>
      </c>
      <c r="K10" s="13">
        <v>108</v>
      </c>
      <c r="L10" s="13">
        <v>29.62</v>
      </c>
      <c r="M10" s="13">
        <v>212.6</v>
      </c>
      <c r="N10" s="13">
        <v>118</v>
      </c>
      <c r="O10" s="13">
        <v>9.57</v>
      </c>
      <c r="P10" s="13">
        <v>7.5</v>
      </c>
      <c r="Q10" s="13">
        <v>7</v>
      </c>
      <c r="R10" s="13">
        <v>2.0299999999999998</v>
      </c>
      <c r="S10" s="13">
        <v>3</v>
      </c>
      <c r="T10" s="13" t="b">
        <v>0</v>
      </c>
      <c r="U10" s="14" t="s">
        <v>72</v>
      </c>
    </row>
    <row r="11" spans="1:21" ht="13.95" customHeight="1" x14ac:dyDescent="0.3">
      <c r="A11" s="15" t="s">
        <v>78</v>
      </c>
      <c r="B11" s="15">
        <v>147</v>
      </c>
      <c r="C11" s="15">
        <v>415</v>
      </c>
      <c r="D11" s="15" t="s">
        <v>71</v>
      </c>
      <c r="E11" s="15" t="s">
        <v>70</v>
      </c>
      <c r="F11" s="15">
        <v>0</v>
      </c>
      <c r="G11" s="15">
        <v>157</v>
      </c>
      <c r="H11" s="15">
        <v>79</v>
      </c>
      <c r="I11" s="15">
        <v>26.69</v>
      </c>
      <c r="J11" s="15">
        <v>103.1</v>
      </c>
      <c r="K11" s="15">
        <v>94</v>
      </c>
      <c r="L11" s="15">
        <v>8.76</v>
      </c>
      <c r="M11" s="15">
        <v>211.8</v>
      </c>
      <c r="N11" s="15">
        <v>96</v>
      </c>
      <c r="O11" s="15">
        <v>9.5299999999999994</v>
      </c>
      <c r="P11" s="15">
        <v>7.1</v>
      </c>
      <c r="Q11" s="15">
        <v>6</v>
      </c>
      <c r="R11" s="15">
        <v>1.92</v>
      </c>
      <c r="S11" s="15">
        <v>0</v>
      </c>
      <c r="T11" s="15" t="b">
        <v>0</v>
      </c>
      <c r="U11" s="14" t="s">
        <v>72</v>
      </c>
    </row>
    <row r="12" spans="1:21" ht="13.95" customHeight="1" x14ac:dyDescent="0.3">
      <c r="A12" s="13" t="s">
        <v>79</v>
      </c>
      <c r="B12" s="13">
        <v>141</v>
      </c>
      <c r="C12" s="13">
        <v>415</v>
      </c>
      <c r="D12" s="13" t="s">
        <v>71</v>
      </c>
      <c r="E12" s="13" t="s">
        <v>71</v>
      </c>
      <c r="F12" s="13">
        <v>37</v>
      </c>
      <c r="G12" s="13">
        <v>258.60000000000002</v>
      </c>
      <c r="H12" s="13">
        <v>84</v>
      </c>
      <c r="I12" s="13">
        <v>43.96</v>
      </c>
      <c r="J12" s="13">
        <v>222</v>
      </c>
      <c r="K12" s="13">
        <v>111</v>
      </c>
      <c r="L12" s="13">
        <v>18.87</v>
      </c>
      <c r="M12" s="13">
        <v>326.39999999999998</v>
      </c>
      <c r="N12" s="13">
        <v>97</v>
      </c>
      <c r="O12" s="13">
        <v>14.69</v>
      </c>
      <c r="P12" s="13">
        <v>11.2</v>
      </c>
      <c r="Q12" s="13">
        <v>5</v>
      </c>
      <c r="R12" s="13">
        <v>3.02</v>
      </c>
      <c r="S12" s="13">
        <v>0</v>
      </c>
      <c r="T12" s="13" t="b">
        <v>0</v>
      </c>
      <c r="U12" s="14" t="s">
        <v>72</v>
      </c>
    </row>
    <row r="13" spans="1:21" ht="13.95" customHeight="1" x14ac:dyDescent="0.3">
      <c r="A13" s="15" t="s">
        <v>80</v>
      </c>
      <c r="B13" s="15">
        <v>74</v>
      </c>
      <c r="C13" s="15">
        <v>415</v>
      </c>
      <c r="D13" s="15" t="s">
        <v>70</v>
      </c>
      <c r="E13" s="15" t="s">
        <v>70</v>
      </c>
      <c r="F13" s="15">
        <v>0</v>
      </c>
      <c r="G13" s="15">
        <v>187.7</v>
      </c>
      <c r="H13" s="15">
        <v>127</v>
      </c>
      <c r="I13" s="15">
        <v>31.91</v>
      </c>
      <c r="J13" s="15">
        <v>163.4</v>
      </c>
      <c r="K13" s="15">
        <v>148</v>
      </c>
      <c r="L13" s="15">
        <v>13.89</v>
      </c>
      <c r="M13" s="15">
        <v>196</v>
      </c>
      <c r="N13" s="15">
        <v>94</v>
      </c>
      <c r="O13" s="15">
        <v>8.82</v>
      </c>
      <c r="P13" s="15">
        <v>9.1</v>
      </c>
      <c r="Q13" s="15">
        <v>5</v>
      </c>
      <c r="R13" s="15">
        <v>2.46</v>
      </c>
      <c r="S13" s="15">
        <v>0</v>
      </c>
      <c r="T13" s="15" t="b">
        <v>0</v>
      </c>
      <c r="U13" s="14" t="s">
        <v>72</v>
      </c>
    </row>
    <row r="14" spans="1:21" ht="13.95" customHeight="1" x14ac:dyDescent="0.3">
      <c r="A14" s="13" t="s">
        <v>81</v>
      </c>
      <c r="B14" s="13">
        <v>168</v>
      </c>
      <c r="C14" s="13">
        <v>408</v>
      </c>
      <c r="D14" s="13" t="s">
        <v>70</v>
      </c>
      <c r="E14" s="13" t="s">
        <v>70</v>
      </c>
      <c r="F14" s="13">
        <v>0</v>
      </c>
      <c r="G14" s="13">
        <v>128.80000000000001</v>
      </c>
      <c r="H14" s="13">
        <v>96</v>
      </c>
      <c r="I14" s="13">
        <v>21.9</v>
      </c>
      <c r="J14" s="13">
        <v>104.9</v>
      </c>
      <c r="K14" s="13">
        <v>71</v>
      </c>
      <c r="L14" s="13">
        <v>8.92</v>
      </c>
      <c r="M14" s="13">
        <v>141.1</v>
      </c>
      <c r="N14" s="13">
        <v>128</v>
      </c>
      <c r="O14" s="13">
        <v>6.35</v>
      </c>
      <c r="P14" s="13">
        <v>11.2</v>
      </c>
      <c r="Q14" s="13">
        <v>2</v>
      </c>
      <c r="R14" s="13">
        <v>3.02</v>
      </c>
      <c r="S14" s="13">
        <v>1</v>
      </c>
      <c r="T14" s="13" t="b">
        <v>0</v>
      </c>
      <c r="U14" s="14" t="s">
        <v>72</v>
      </c>
    </row>
    <row r="15" spans="1:21" ht="13.95" customHeight="1" x14ac:dyDescent="0.3">
      <c r="A15" s="15" t="s">
        <v>82</v>
      </c>
      <c r="B15" s="15">
        <v>95</v>
      </c>
      <c r="C15" s="15">
        <v>510</v>
      </c>
      <c r="D15" s="15" t="s">
        <v>70</v>
      </c>
      <c r="E15" s="15" t="s">
        <v>70</v>
      </c>
      <c r="F15" s="15">
        <v>0</v>
      </c>
      <c r="G15" s="15">
        <v>156.6</v>
      </c>
      <c r="H15" s="15">
        <v>88</v>
      </c>
      <c r="I15" s="15">
        <v>26.62</v>
      </c>
      <c r="J15" s="15">
        <v>247.6</v>
      </c>
      <c r="K15" s="15">
        <v>75</v>
      </c>
      <c r="L15" s="15">
        <v>21.05</v>
      </c>
      <c r="M15" s="15">
        <v>192.3</v>
      </c>
      <c r="N15" s="15">
        <v>115</v>
      </c>
      <c r="O15" s="15">
        <v>8.65</v>
      </c>
      <c r="P15" s="15">
        <v>12.3</v>
      </c>
      <c r="Q15" s="15">
        <v>5</v>
      </c>
      <c r="R15" s="15">
        <v>3.32</v>
      </c>
      <c r="S15" s="15">
        <v>3</v>
      </c>
      <c r="T15" s="15" t="b">
        <v>0</v>
      </c>
      <c r="U15" s="14" t="s">
        <v>72</v>
      </c>
    </row>
    <row r="16" spans="1:21" ht="13.95" customHeight="1" x14ac:dyDescent="0.3">
      <c r="A16" s="13" t="s">
        <v>81</v>
      </c>
      <c r="B16" s="13">
        <v>62</v>
      </c>
      <c r="C16" s="13">
        <v>415</v>
      </c>
      <c r="D16" s="13" t="s">
        <v>70</v>
      </c>
      <c r="E16" s="13" t="s">
        <v>70</v>
      </c>
      <c r="F16" s="13">
        <v>0</v>
      </c>
      <c r="G16" s="13">
        <v>120.7</v>
      </c>
      <c r="H16" s="13">
        <v>70</v>
      </c>
      <c r="I16" s="13">
        <v>20.52</v>
      </c>
      <c r="J16" s="13">
        <v>307.2</v>
      </c>
      <c r="K16" s="13">
        <v>76</v>
      </c>
      <c r="L16" s="13">
        <v>26.11</v>
      </c>
      <c r="M16" s="13">
        <v>203</v>
      </c>
      <c r="N16" s="13">
        <v>99</v>
      </c>
      <c r="O16" s="13">
        <v>9.14</v>
      </c>
      <c r="P16" s="13">
        <v>13.1</v>
      </c>
      <c r="Q16" s="13">
        <v>6</v>
      </c>
      <c r="R16" s="13">
        <v>3.54</v>
      </c>
      <c r="S16" s="13">
        <v>4</v>
      </c>
      <c r="T16" s="13" t="b">
        <v>0</v>
      </c>
      <c r="U16" s="14" t="s">
        <v>72</v>
      </c>
    </row>
    <row r="17" spans="1:21" ht="13.95" customHeight="1" x14ac:dyDescent="0.3">
      <c r="A17" s="15" t="s">
        <v>83</v>
      </c>
      <c r="B17" s="15">
        <v>85</v>
      </c>
      <c r="C17" s="15">
        <v>408</v>
      </c>
      <c r="D17" s="15" t="s">
        <v>70</v>
      </c>
      <c r="E17" s="15" t="s">
        <v>71</v>
      </c>
      <c r="F17" s="15">
        <v>27</v>
      </c>
      <c r="G17" s="15">
        <v>196.4</v>
      </c>
      <c r="H17" s="15">
        <v>139</v>
      </c>
      <c r="I17" s="15">
        <v>33.39</v>
      </c>
      <c r="J17" s="15">
        <v>280.89999999999998</v>
      </c>
      <c r="K17" s="15">
        <v>90</v>
      </c>
      <c r="L17" s="15">
        <v>23.88</v>
      </c>
      <c r="M17" s="15">
        <v>89.3</v>
      </c>
      <c r="N17" s="15">
        <v>75</v>
      </c>
      <c r="O17" s="15">
        <v>4.0199999999999996</v>
      </c>
      <c r="P17" s="15">
        <v>13.8</v>
      </c>
      <c r="Q17" s="15">
        <v>4</v>
      </c>
      <c r="R17" s="15">
        <v>3.73</v>
      </c>
      <c r="S17" s="15">
        <v>1</v>
      </c>
      <c r="T17" s="15" t="b">
        <v>0</v>
      </c>
      <c r="U17" s="14" t="s">
        <v>72</v>
      </c>
    </row>
    <row r="18" spans="1:21" ht="13.95" customHeight="1" x14ac:dyDescent="0.3">
      <c r="A18" s="13" t="s">
        <v>84</v>
      </c>
      <c r="B18" s="13">
        <v>93</v>
      </c>
      <c r="C18" s="13">
        <v>510</v>
      </c>
      <c r="D18" s="13" t="s">
        <v>70</v>
      </c>
      <c r="E18" s="13" t="s">
        <v>70</v>
      </c>
      <c r="F18" s="13">
        <v>0</v>
      </c>
      <c r="G18" s="13">
        <v>190.7</v>
      </c>
      <c r="H18" s="13">
        <v>114</v>
      </c>
      <c r="I18" s="13">
        <v>32.42</v>
      </c>
      <c r="J18" s="13">
        <v>218.2</v>
      </c>
      <c r="K18" s="13">
        <v>111</v>
      </c>
      <c r="L18" s="13">
        <v>18.55</v>
      </c>
      <c r="M18" s="13">
        <v>129.6</v>
      </c>
      <c r="N18" s="13">
        <v>121</v>
      </c>
      <c r="O18" s="13">
        <v>5.83</v>
      </c>
      <c r="P18" s="13">
        <v>8.1</v>
      </c>
      <c r="Q18" s="13">
        <v>3</v>
      </c>
      <c r="R18" s="13">
        <v>2.19</v>
      </c>
      <c r="S18" s="13">
        <v>3</v>
      </c>
      <c r="T18" s="13" t="b">
        <v>0</v>
      </c>
      <c r="U18" s="14" t="s">
        <v>72</v>
      </c>
    </row>
    <row r="19" spans="1:21" ht="13.95" customHeight="1" x14ac:dyDescent="0.3">
      <c r="A19" s="15" t="s">
        <v>85</v>
      </c>
      <c r="B19" s="15">
        <v>76</v>
      </c>
      <c r="C19" s="15">
        <v>510</v>
      </c>
      <c r="D19" s="15" t="s">
        <v>70</v>
      </c>
      <c r="E19" s="15" t="s">
        <v>71</v>
      </c>
      <c r="F19" s="15">
        <v>33</v>
      </c>
      <c r="G19" s="15">
        <v>189.7</v>
      </c>
      <c r="H19" s="15">
        <v>66</v>
      </c>
      <c r="I19" s="15">
        <v>32.25</v>
      </c>
      <c r="J19" s="15">
        <v>212.8</v>
      </c>
      <c r="K19" s="15">
        <v>65</v>
      </c>
      <c r="L19" s="15">
        <v>18.09</v>
      </c>
      <c r="M19" s="15">
        <v>165.7</v>
      </c>
      <c r="N19" s="15">
        <v>108</v>
      </c>
      <c r="O19" s="15">
        <v>7.46</v>
      </c>
      <c r="P19" s="15">
        <v>10</v>
      </c>
      <c r="Q19" s="15">
        <v>5</v>
      </c>
      <c r="R19" s="15">
        <v>2.7</v>
      </c>
      <c r="S19" s="15">
        <v>1</v>
      </c>
      <c r="T19" s="15" t="b">
        <v>0</v>
      </c>
      <c r="U19" s="14" t="s">
        <v>72</v>
      </c>
    </row>
    <row r="20" spans="1:21" ht="13.95" customHeight="1" x14ac:dyDescent="0.3">
      <c r="A20" s="13" t="s">
        <v>86</v>
      </c>
      <c r="B20" s="13">
        <v>73</v>
      </c>
      <c r="C20" s="13">
        <v>415</v>
      </c>
      <c r="D20" s="13" t="s">
        <v>70</v>
      </c>
      <c r="E20" s="13" t="s">
        <v>70</v>
      </c>
      <c r="F20" s="13">
        <v>0</v>
      </c>
      <c r="G20" s="13">
        <v>224.4</v>
      </c>
      <c r="H20" s="13">
        <v>90</v>
      </c>
      <c r="I20" s="13">
        <v>38.15</v>
      </c>
      <c r="J20" s="13">
        <v>159.5</v>
      </c>
      <c r="K20" s="13">
        <v>88</v>
      </c>
      <c r="L20" s="13">
        <v>13.56</v>
      </c>
      <c r="M20" s="13">
        <v>192.8</v>
      </c>
      <c r="N20" s="13">
        <v>74</v>
      </c>
      <c r="O20" s="13">
        <v>8.68</v>
      </c>
      <c r="P20" s="13">
        <v>13</v>
      </c>
      <c r="Q20" s="13">
        <v>2</v>
      </c>
      <c r="R20" s="13">
        <v>3.51</v>
      </c>
      <c r="S20" s="13">
        <v>1</v>
      </c>
      <c r="T20" s="13" t="b">
        <v>0</v>
      </c>
      <c r="U20" s="14" t="s">
        <v>72</v>
      </c>
    </row>
    <row r="21" spans="1:21" ht="13.95" customHeight="1" x14ac:dyDescent="0.3">
      <c r="A21" s="15" t="s">
        <v>87</v>
      </c>
      <c r="B21" s="15">
        <v>147</v>
      </c>
      <c r="C21" s="15">
        <v>415</v>
      </c>
      <c r="D21" s="15" t="s">
        <v>70</v>
      </c>
      <c r="E21" s="15" t="s">
        <v>70</v>
      </c>
      <c r="F21" s="15">
        <v>0</v>
      </c>
      <c r="G21" s="15">
        <v>155.1</v>
      </c>
      <c r="H21" s="15">
        <v>117</v>
      </c>
      <c r="I21" s="15">
        <v>26.37</v>
      </c>
      <c r="J21" s="15">
        <v>239.7</v>
      </c>
      <c r="K21" s="15">
        <v>93</v>
      </c>
      <c r="L21" s="15">
        <v>20.37</v>
      </c>
      <c r="M21" s="15">
        <v>208.8</v>
      </c>
      <c r="N21" s="15">
        <v>133</v>
      </c>
      <c r="O21" s="15">
        <v>9.4</v>
      </c>
      <c r="P21" s="15">
        <v>10.6</v>
      </c>
      <c r="Q21" s="15">
        <v>4</v>
      </c>
      <c r="R21" s="15">
        <v>2.86</v>
      </c>
      <c r="S21" s="15">
        <v>0</v>
      </c>
      <c r="T21" s="15" t="b">
        <v>0</v>
      </c>
      <c r="U21" s="14" t="s">
        <v>72</v>
      </c>
    </row>
    <row r="22" spans="1:21" ht="13.95" customHeight="1" x14ac:dyDescent="0.3">
      <c r="A22" s="13" t="s">
        <v>88</v>
      </c>
      <c r="B22" s="13">
        <v>77</v>
      </c>
      <c r="C22" s="13">
        <v>408</v>
      </c>
      <c r="D22" s="13" t="s">
        <v>70</v>
      </c>
      <c r="E22" s="13" t="s">
        <v>70</v>
      </c>
      <c r="F22" s="13">
        <v>0</v>
      </c>
      <c r="G22" s="13">
        <v>62.4</v>
      </c>
      <c r="H22" s="13">
        <v>89</v>
      </c>
      <c r="I22" s="13">
        <v>10.61</v>
      </c>
      <c r="J22" s="13">
        <v>169.9</v>
      </c>
      <c r="K22" s="13">
        <v>121</v>
      </c>
      <c r="L22" s="13">
        <v>14.44</v>
      </c>
      <c r="M22" s="13">
        <v>209.6</v>
      </c>
      <c r="N22" s="13">
        <v>64</v>
      </c>
      <c r="O22" s="13">
        <v>9.43</v>
      </c>
      <c r="P22" s="13">
        <v>5.7</v>
      </c>
      <c r="Q22" s="13">
        <v>6</v>
      </c>
      <c r="R22" s="13">
        <v>1.54</v>
      </c>
      <c r="S22" s="13">
        <v>5</v>
      </c>
      <c r="T22" s="13" t="b">
        <v>1</v>
      </c>
      <c r="U22" s="16" t="s">
        <v>89</v>
      </c>
    </row>
    <row r="23" spans="1:21" ht="13.95" customHeight="1" x14ac:dyDescent="0.3">
      <c r="A23" s="15" t="s">
        <v>90</v>
      </c>
      <c r="B23" s="15">
        <v>130</v>
      </c>
      <c r="C23" s="15">
        <v>415</v>
      </c>
      <c r="D23" s="15" t="s">
        <v>70</v>
      </c>
      <c r="E23" s="15" t="s">
        <v>70</v>
      </c>
      <c r="F23" s="15">
        <v>0</v>
      </c>
      <c r="G23" s="15">
        <v>183</v>
      </c>
      <c r="H23" s="15">
        <v>112</v>
      </c>
      <c r="I23" s="15">
        <v>31.11</v>
      </c>
      <c r="J23" s="15">
        <v>72.900000000000006</v>
      </c>
      <c r="K23" s="15">
        <v>99</v>
      </c>
      <c r="L23" s="15">
        <v>6.2</v>
      </c>
      <c r="M23" s="15">
        <v>181.8</v>
      </c>
      <c r="N23" s="15">
        <v>78</v>
      </c>
      <c r="O23" s="15">
        <v>8.18</v>
      </c>
      <c r="P23" s="15">
        <v>9.5</v>
      </c>
      <c r="Q23" s="15">
        <v>19</v>
      </c>
      <c r="R23" s="15">
        <v>2.57</v>
      </c>
      <c r="S23" s="15">
        <v>0</v>
      </c>
      <c r="T23" s="15" t="b">
        <v>0</v>
      </c>
      <c r="U23" s="14" t="s">
        <v>72</v>
      </c>
    </row>
    <row r="24" spans="1:21" ht="13.95" customHeight="1" x14ac:dyDescent="0.3">
      <c r="A24" s="13" t="s">
        <v>85</v>
      </c>
      <c r="B24" s="13">
        <v>132</v>
      </c>
      <c r="C24" s="13">
        <v>510</v>
      </c>
      <c r="D24" s="13" t="s">
        <v>70</v>
      </c>
      <c r="E24" s="13" t="s">
        <v>70</v>
      </c>
      <c r="F24" s="13">
        <v>0</v>
      </c>
      <c r="G24" s="13">
        <v>81.099999999999994</v>
      </c>
      <c r="H24" s="13">
        <v>86</v>
      </c>
      <c r="I24" s="13">
        <v>13.79</v>
      </c>
      <c r="J24" s="13">
        <v>245.2</v>
      </c>
      <c r="K24" s="13">
        <v>72</v>
      </c>
      <c r="L24" s="13">
        <v>20.84</v>
      </c>
      <c r="M24" s="13">
        <v>237</v>
      </c>
      <c r="N24" s="13">
        <v>115</v>
      </c>
      <c r="O24" s="13">
        <v>10.67</v>
      </c>
      <c r="P24" s="13">
        <v>10.3</v>
      </c>
      <c r="Q24" s="13">
        <v>2</v>
      </c>
      <c r="R24" s="13">
        <v>2.78</v>
      </c>
      <c r="S24" s="13">
        <v>0</v>
      </c>
      <c r="T24" s="13" t="b">
        <v>0</v>
      </c>
      <c r="U24" s="14" t="s">
        <v>72</v>
      </c>
    </row>
    <row r="25" spans="1:21" ht="13.95" customHeight="1" x14ac:dyDescent="0.3">
      <c r="A25" s="15" t="s">
        <v>91</v>
      </c>
      <c r="B25" s="15">
        <v>174</v>
      </c>
      <c r="C25" s="15">
        <v>415</v>
      </c>
      <c r="D25" s="15" t="s">
        <v>70</v>
      </c>
      <c r="E25" s="15" t="s">
        <v>70</v>
      </c>
      <c r="F25" s="15">
        <v>0</v>
      </c>
      <c r="G25" s="15">
        <v>124.3</v>
      </c>
      <c r="H25" s="15">
        <v>76</v>
      </c>
      <c r="I25" s="15">
        <v>21.13</v>
      </c>
      <c r="J25" s="15">
        <v>277.10000000000002</v>
      </c>
      <c r="K25" s="15">
        <v>112</v>
      </c>
      <c r="L25" s="15">
        <v>23.55</v>
      </c>
      <c r="M25" s="15">
        <v>250.7</v>
      </c>
      <c r="N25" s="15">
        <v>115</v>
      </c>
      <c r="O25" s="15">
        <v>11.28</v>
      </c>
      <c r="P25" s="15">
        <v>15.5</v>
      </c>
      <c r="Q25" s="15">
        <v>5</v>
      </c>
      <c r="R25" s="15">
        <v>4.1900000000000004</v>
      </c>
      <c r="S25" s="15">
        <v>3</v>
      </c>
      <c r="T25" s="15" t="b">
        <v>0</v>
      </c>
      <c r="U25" s="14" t="s">
        <v>72</v>
      </c>
    </row>
    <row r="26" spans="1:21" ht="13.95" customHeight="1" x14ac:dyDescent="0.3">
      <c r="A26" s="13" t="s">
        <v>92</v>
      </c>
      <c r="B26" s="13">
        <v>57</v>
      </c>
      <c r="C26" s="13">
        <v>408</v>
      </c>
      <c r="D26" s="13" t="s">
        <v>70</v>
      </c>
      <c r="E26" s="13" t="s">
        <v>71</v>
      </c>
      <c r="F26" s="13">
        <v>39</v>
      </c>
      <c r="G26" s="13">
        <v>213</v>
      </c>
      <c r="H26" s="13">
        <v>115</v>
      </c>
      <c r="I26" s="13">
        <v>36.21</v>
      </c>
      <c r="J26" s="13">
        <v>191.1</v>
      </c>
      <c r="K26" s="13">
        <v>112</v>
      </c>
      <c r="L26" s="13">
        <v>16.239999999999998</v>
      </c>
      <c r="M26" s="13">
        <v>182.7</v>
      </c>
      <c r="N26" s="13">
        <v>115</v>
      </c>
      <c r="O26" s="13">
        <v>8.2200000000000006</v>
      </c>
      <c r="P26" s="13">
        <v>9.5</v>
      </c>
      <c r="Q26" s="13">
        <v>3</v>
      </c>
      <c r="R26" s="13">
        <v>2.57</v>
      </c>
      <c r="S26" s="13">
        <v>0</v>
      </c>
      <c r="T26" s="13" t="b">
        <v>0</v>
      </c>
      <c r="U26" s="14" t="s">
        <v>72</v>
      </c>
    </row>
    <row r="27" spans="1:21" ht="13.95" customHeight="1" x14ac:dyDescent="0.3">
      <c r="A27" s="15" t="s">
        <v>82</v>
      </c>
      <c r="B27" s="15">
        <v>54</v>
      </c>
      <c r="C27" s="15">
        <v>408</v>
      </c>
      <c r="D27" s="15" t="s">
        <v>70</v>
      </c>
      <c r="E27" s="15" t="s">
        <v>70</v>
      </c>
      <c r="F27" s="15">
        <v>0</v>
      </c>
      <c r="G27" s="15">
        <v>134.30000000000001</v>
      </c>
      <c r="H27" s="15">
        <v>73</v>
      </c>
      <c r="I27" s="15">
        <v>22.83</v>
      </c>
      <c r="J27" s="15">
        <v>155.5</v>
      </c>
      <c r="K27" s="15">
        <v>100</v>
      </c>
      <c r="L27" s="15">
        <v>13.22</v>
      </c>
      <c r="M27" s="15">
        <v>102.1</v>
      </c>
      <c r="N27" s="15">
        <v>68</v>
      </c>
      <c r="O27" s="15">
        <v>4.59</v>
      </c>
      <c r="P27" s="15">
        <v>14.7</v>
      </c>
      <c r="Q27" s="15">
        <v>4</v>
      </c>
      <c r="R27" s="15">
        <v>3.97</v>
      </c>
      <c r="S27" s="15">
        <v>3</v>
      </c>
      <c r="T27" s="15" t="b">
        <v>0</v>
      </c>
      <c r="U27" s="14" t="s">
        <v>72</v>
      </c>
    </row>
    <row r="28" spans="1:21" ht="13.95" customHeight="1" x14ac:dyDescent="0.3">
      <c r="A28" s="13" t="s">
        <v>78</v>
      </c>
      <c r="B28" s="13">
        <v>20</v>
      </c>
      <c r="C28" s="13">
        <v>415</v>
      </c>
      <c r="D28" s="13" t="s">
        <v>70</v>
      </c>
      <c r="E28" s="13" t="s">
        <v>70</v>
      </c>
      <c r="F28" s="13">
        <v>0</v>
      </c>
      <c r="G28" s="13">
        <v>190</v>
      </c>
      <c r="H28" s="13">
        <v>109</v>
      </c>
      <c r="I28" s="13">
        <v>32.299999999999997</v>
      </c>
      <c r="J28" s="13">
        <v>258.2</v>
      </c>
      <c r="K28" s="13">
        <v>84</v>
      </c>
      <c r="L28" s="13">
        <v>21.95</v>
      </c>
      <c r="M28" s="13">
        <v>181.5</v>
      </c>
      <c r="N28" s="13">
        <v>102</v>
      </c>
      <c r="O28" s="13">
        <v>8.17</v>
      </c>
      <c r="P28" s="13">
        <v>6.3</v>
      </c>
      <c r="Q28" s="13">
        <v>6</v>
      </c>
      <c r="R28" s="13">
        <v>1.7</v>
      </c>
      <c r="S28" s="13">
        <v>0</v>
      </c>
      <c r="T28" s="13" t="b">
        <v>0</v>
      </c>
      <c r="U28" s="14" t="s">
        <v>72</v>
      </c>
    </row>
    <row r="29" spans="1:21" ht="13.95" customHeight="1" x14ac:dyDescent="0.3">
      <c r="A29" s="15" t="s">
        <v>93</v>
      </c>
      <c r="B29" s="15">
        <v>142</v>
      </c>
      <c r="C29" s="15">
        <v>415</v>
      </c>
      <c r="D29" s="15" t="s">
        <v>70</v>
      </c>
      <c r="E29" s="15" t="s">
        <v>70</v>
      </c>
      <c r="F29" s="15">
        <v>0</v>
      </c>
      <c r="G29" s="15">
        <v>84.8</v>
      </c>
      <c r="H29" s="15">
        <v>95</v>
      </c>
      <c r="I29" s="15">
        <v>14.42</v>
      </c>
      <c r="J29" s="15">
        <v>136.69999999999999</v>
      </c>
      <c r="K29" s="15">
        <v>63</v>
      </c>
      <c r="L29" s="15">
        <v>11.62</v>
      </c>
      <c r="M29" s="15">
        <v>250.5</v>
      </c>
      <c r="N29" s="15">
        <v>148</v>
      </c>
      <c r="O29" s="15">
        <v>11.27</v>
      </c>
      <c r="P29" s="15">
        <v>14.2</v>
      </c>
      <c r="Q29" s="15">
        <v>6</v>
      </c>
      <c r="R29" s="15">
        <v>3.83</v>
      </c>
      <c r="S29" s="15">
        <v>2</v>
      </c>
      <c r="T29" s="15" t="b">
        <v>0</v>
      </c>
      <c r="U29" s="14" t="s">
        <v>72</v>
      </c>
    </row>
    <row r="30" spans="1:21" ht="13.95" customHeight="1" x14ac:dyDescent="0.3">
      <c r="A30" s="13" t="s">
        <v>94</v>
      </c>
      <c r="B30" s="13">
        <v>75</v>
      </c>
      <c r="C30" s="13">
        <v>510</v>
      </c>
      <c r="D30" s="13" t="s">
        <v>70</v>
      </c>
      <c r="E30" s="13" t="s">
        <v>70</v>
      </c>
      <c r="F30" s="13">
        <v>0</v>
      </c>
      <c r="G30" s="13">
        <v>226.1</v>
      </c>
      <c r="H30" s="13">
        <v>105</v>
      </c>
      <c r="I30" s="13">
        <v>38.44</v>
      </c>
      <c r="J30" s="13">
        <v>201.5</v>
      </c>
      <c r="K30" s="13">
        <v>107</v>
      </c>
      <c r="L30" s="13">
        <v>17.13</v>
      </c>
      <c r="M30" s="13">
        <v>246.2</v>
      </c>
      <c r="N30" s="13">
        <v>98</v>
      </c>
      <c r="O30" s="13">
        <v>11.08</v>
      </c>
      <c r="P30" s="13">
        <v>10.3</v>
      </c>
      <c r="Q30" s="13">
        <v>5</v>
      </c>
      <c r="R30" s="13">
        <v>2.78</v>
      </c>
      <c r="S30" s="13">
        <v>1</v>
      </c>
      <c r="T30" s="13" t="b">
        <v>0</v>
      </c>
      <c r="U30" s="14" t="s">
        <v>72</v>
      </c>
    </row>
    <row r="31" spans="1:21" ht="13.95" customHeight="1" x14ac:dyDescent="0.3">
      <c r="A31" s="15" t="s">
        <v>95</v>
      </c>
      <c r="B31" s="15">
        <v>172</v>
      </c>
      <c r="C31" s="15">
        <v>408</v>
      </c>
      <c r="D31" s="15" t="s">
        <v>70</v>
      </c>
      <c r="E31" s="15" t="s">
        <v>70</v>
      </c>
      <c r="F31" s="15">
        <v>0</v>
      </c>
      <c r="G31" s="15">
        <v>212</v>
      </c>
      <c r="H31" s="15">
        <v>121</v>
      </c>
      <c r="I31" s="15">
        <v>36.04</v>
      </c>
      <c r="J31" s="15">
        <v>31.2</v>
      </c>
      <c r="K31" s="15">
        <v>115</v>
      </c>
      <c r="L31" s="15">
        <v>2.65</v>
      </c>
      <c r="M31" s="15">
        <v>293.3</v>
      </c>
      <c r="N31" s="15">
        <v>78</v>
      </c>
      <c r="O31" s="15">
        <v>13.2</v>
      </c>
      <c r="P31" s="15">
        <v>12.6</v>
      </c>
      <c r="Q31" s="15">
        <v>10</v>
      </c>
      <c r="R31" s="15">
        <v>3.4</v>
      </c>
      <c r="S31" s="15">
        <v>3</v>
      </c>
      <c r="T31" s="15" t="b">
        <v>0</v>
      </c>
      <c r="U31" s="14" t="s">
        <v>72</v>
      </c>
    </row>
    <row r="32" spans="1:21" ht="13.95" customHeight="1" x14ac:dyDescent="0.3">
      <c r="A32" s="13" t="s">
        <v>90</v>
      </c>
      <c r="B32" s="13">
        <v>12</v>
      </c>
      <c r="C32" s="13">
        <v>408</v>
      </c>
      <c r="D32" s="13" t="s">
        <v>70</v>
      </c>
      <c r="E32" s="13" t="s">
        <v>70</v>
      </c>
      <c r="F32" s="13">
        <v>0</v>
      </c>
      <c r="G32" s="13">
        <v>249.6</v>
      </c>
      <c r="H32" s="13">
        <v>118</v>
      </c>
      <c r="I32" s="13">
        <v>42.43</v>
      </c>
      <c r="J32" s="13">
        <v>252.4</v>
      </c>
      <c r="K32" s="13">
        <v>119</v>
      </c>
      <c r="L32" s="13">
        <v>21.45</v>
      </c>
      <c r="M32" s="13">
        <v>280.2</v>
      </c>
      <c r="N32" s="13">
        <v>90</v>
      </c>
      <c r="O32" s="13">
        <v>12.61</v>
      </c>
      <c r="P32" s="13">
        <v>11.8</v>
      </c>
      <c r="Q32" s="13">
        <v>3</v>
      </c>
      <c r="R32" s="13">
        <v>3.19</v>
      </c>
      <c r="S32" s="13">
        <v>1</v>
      </c>
      <c r="T32" s="13" t="b">
        <v>1</v>
      </c>
      <c r="U32" s="16" t="s">
        <v>89</v>
      </c>
    </row>
    <row r="33" spans="1:21" ht="13.95" customHeight="1" x14ac:dyDescent="0.3">
      <c r="A33" s="15" t="s">
        <v>75</v>
      </c>
      <c r="B33" s="15">
        <v>57</v>
      </c>
      <c r="C33" s="15">
        <v>408</v>
      </c>
      <c r="D33" s="15" t="s">
        <v>70</v>
      </c>
      <c r="E33" s="15" t="s">
        <v>71</v>
      </c>
      <c r="F33" s="15">
        <v>25</v>
      </c>
      <c r="G33" s="15">
        <v>176.8</v>
      </c>
      <c r="H33" s="15">
        <v>94</v>
      </c>
      <c r="I33" s="15">
        <v>30.06</v>
      </c>
      <c r="J33" s="15">
        <v>195</v>
      </c>
      <c r="K33" s="15">
        <v>75</v>
      </c>
      <c r="L33" s="15">
        <v>16.579999999999998</v>
      </c>
      <c r="M33" s="15">
        <v>213.5</v>
      </c>
      <c r="N33" s="15">
        <v>116</v>
      </c>
      <c r="O33" s="15">
        <v>9.61</v>
      </c>
      <c r="P33" s="15">
        <v>8.3000000000000007</v>
      </c>
      <c r="Q33" s="15">
        <v>4</v>
      </c>
      <c r="R33" s="15">
        <v>2.2400000000000002</v>
      </c>
      <c r="S33" s="15">
        <v>0</v>
      </c>
      <c r="T33" s="15" t="b">
        <v>0</v>
      </c>
      <c r="U33" s="14" t="s">
        <v>72</v>
      </c>
    </row>
    <row r="34" spans="1:21" ht="13.95" customHeight="1" x14ac:dyDescent="0.3">
      <c r="A34" s="13" t="s">
        <v>96</v>
      </c>
      <c r="B34" s="13">
        <v>72</v>
      </c>
      <c r="C34" s="13">
        <v>415</v>
      </c>
      <c r="D34" s="13" t="s">
        <v>70</v>
      </c>
      <c r="E34" s="13" t="s">
        <v>71</v>
      </c>
      <c r="F34" s="13">
        <v>37</v>
      </c>
      <c r="G34" s="13">
        <v>220</v>
      </c>
      <c r="H34" s="13">
        <v>80</v>
      </c>
      <c r="I34" s="13">
        <v>37.4</v>
      </c>
      <c r="J34" s="13">
        <v>217.3</v>
      </c>
      <c r="K34" s="13">
        <v>102</v>
      </c>
      <c r="L34" s="13">
        <v>18.47</v>
      </c>
      <c r="M34" s="13">
        <v>152.80000000000001</v>
      </c>
      <c r="N34" s="13">
        <v>71</v>
      </c>
      <c r="O34" s="13">
        <v>6.88</v>
      </c>
      <c r="P34" s="13">
        <v>14.7</v>
      </c>
      <c r="Q34" s="13">
        <v>6</v>
      </c>
      <c r="R34" s="13">
        <v>3.97</v>
      </c>
      <c r="S34" s="13">
        <v>3</v>
      </c>
      <c r="T34" s="13" t="b">
        <v>0</v>
      </c>
      <c r="U34" s="14" t="s">
        <v>72</v>
      </c>
    </row>
    <row r="35" spans="1:21" ht="13.95" customHeight="1" x14ac:dyDescent="0.3">
      <c r="A35" s="15" t="s">
        <v>77</v>
      </c>
      <c r="B35" s="15">
        <v>78</v>
      </c>
      <c r="C35" s="15">
        <v>415</v>
      </c>
      <c r="D35" s="15" t="s">
        <v>70</v>
      </c>
      <c r="E35" s="15" t="s">
        <v>70</v>
      </c>
      <c r="F35" s="15">
        <v>0</v>
      </c>
      <c r="G35" s="15">
        <v>130.80000000000001</v>
      </c>
      <c r="H35" s="15">
        <v>64</v>
      </c>
      <c r="I35" s="15">
        <v>22.24</v>
      </c>
      <c r="J35" s="15">
        <v>223.7</v>
      </c>
      <c r="K35" s="15">
        <v>116</v>
      </c>
      <c r="L35" s="15">
        <v>19.010000000000002</v>
      </c>
      <c r="M35" s="15">
        <v>227.8</v>
      </c>
      <c r="N35" s="15">
        <v>108</v>
      </c>
      <c r="O35" s="15">
        <v>10.25</v>
      </c>
      <c r="P35" s="15">
        <v>10</v>
      </c>
      <c r="Q35" s="15">
        <v>5</v>
      </c>
      <c r="R35" s="15">
        <v>2.7</v>
      </c>
      <c r="S35" s="15">
        <v>1</v>
      </c>
      <c r="T35" s="15" t="b">
        <v>0</v>
      </c>
      <c r="U35" s="14" t="s">
        <v>72</v>
      </c>
    </row>
    <row r="36" spans="1:21" ht="13.95" customHeight="1" x14ac:dyDescent="0.3">
      <c r="A36" s="13" t="s">
        <v>97</v>
      </c>
      <c r="B36" s="13">
        <v>136</v>
      </c>
      <c r="C36" s="13">
        <v>415</v>
      </c>
      <c r="D36" s="13" t="s">
        <v>71</v>
      </c>
      <c r="E36" s="13" t="s">
        <v>71</v>
      </c>
      <c r="F36" s="13">
        <v>33</v>
      </c>
      <c r="G36" s="13">
        <v>203.9</v>
      </c>
      <c r="H36" s="13">
        <v>106</v>
      </c>
      <c r="I36" s="13">
        <v>34.659999999999997</v>
      </c>
      <c r="J36" s="13">
        <v>187.6</v>
      </c>
      <c r="K36" s="13">
        <v>99</v>
      </c>
      <c r="L36" s="13">
        <v>15.95</v>
      </c>
      <c r="M36" s="13">
        <v>101.7</v>
      </c>
      <c r="N36" s="13">
        <v>107</v>
      </c>
      <c r="O36" s="13">
        <v>4.58</v>
      </c>
      <c r="P36" s="13">
        <v>10.5</v>
      </c>
      <c r="Q36" s="13">
        <v>6</v>
      </c>
      <c r="R36" s="13">
        <v>2.84</v>
      </c>
      <c r="S36" s="13">
        <v>3</v>
      </c>
      <c r="T36" s="13" t="b">
        <v>0</v>
      </c>
      <c r="U36" s="14" t="s">
        <v>72</v>
      </c>
    </row>
    <row r="37" spans="1:21" ht="13.95" customHeight="1" x14ac:dyDescent="0.3">
      <c r="A37" s="15" t="s">
        <v>74</v>
      </c>
      <c r="B37" s="15">
        <v>149</v>
      </c>
      <c r="C37" s="15">
        <v>408</v>
      </c>
      <c r="D37" s="15" t="s">
        <v>70</v>
      </c>
      <c r="E37" s="15" t="s">
        <v>70</v>
      </c>
      <c r="F37" s="15">
        <v>0</v>
      </c>
      <c r="G37" s="15">
        <v>140.4</v>
      </c>
      <c r="H37" s="15">
        <v>94</v>
      </c>
      <c r="I37" s="15">
        <v>23.87</v>
      </c>
      <c r="J37" s="15">
        <v>271.8</v>
      </c>
      <c r="K37" s="15">
        <v>92</v>
      </c>
      <c r="L37" s="15">
        <v>23.1</v>
      </c>
      <c r="M37" s="15">
        <v>188.3</v>
      </c>
      <c r="N37" s="15">
        <v>108</v>
      </c>
      <c r="O37" s="15">
        <v>8.4700000000000006</v>
      </c>
      <c r="P37" s="15">
        <v>11.1</v>
      </c>
      <c r="Q37" s="15">
        <v>9</v>
      </c>
      <c r="R37" s="15">
        <v>3</v>
      </c>
      <c r="S37" s="15">
        <v>1</v>
      </c>
      <c r="T37" s="15" t="b">
        <v>0</v>
      </c>
      <c r="U37" s="14" t="s">
        <v>72</v>
      </c>
    </row>
    <row r="38" spans="1:21" ht="13.95" customHeight="1" x14ac:dyDescent="0.3">
      <c r="A38" s="13" t="s">
        <v>96</v>
      </c>
      <c r="B38" s="13">
        <v>98</v>
      </c>
      <c r="C38" s="13">
        <v>408</v>
      </c>
      <c r="D38" s="13" t="s">
        <v>70</v>
      </c>
      <c r="E38" s="13" t="s">
        <v>70</v>
      </c>
      <c r="F38" s="13">
        <v>0</v>
      </c>
      <c r="G38" s="13">
        <v>126.3</v>
      </c>
      <c r="H38" s="13">
        <v>102</v>
      </c>
      <c r="I38" s="13">
        <v>21.47</v>
      </c>
      <c r="J38" s="13">
        <v>166.8</v>
      </c>
      <c r="K38" s="13">
        <v>85</v>
      </c>
      <c r="L38" s="13">
        <v>14.18</v>
      </c>
      <c r="M38" s="13">
        <v>187.8</v>
      </c>
      <c r="N38" s="13">
        <v>135</v>
      </c>
      <c r="O38" s="13">
        <v>8.4499999999999993</v>
      </c>
      <c r="P38" s="13">
        <v>9.4</v>
      </c>
      <c r="Q38" s="13">
        <v>2</v>
      </c>
      <c r="R38" s="13">
        <v>2.54</v>
      </c>
      <c r="S38" s="13">
        <v>3</v>
      </c>
      <c r="T38" s="13" t="b">
        <v>0</v>
      </c>
      <c r="U38" s="14" t="s">
        <v>72</v>
      </c>
    </row>
    <row r="39" spans="1:21" ht="13.95" customHeight="1" x14ac:dyDescent="0.3">
      <c r="A39" s="15" t="s">
        <v>98</v>
      </c>
      <c r="B39" s="15">
        <v>135</v>
      </c>
      <c r="C39" s="15">
        <v>408</v>
      </c>
      <c r="D39" s="15" t="s">
        <v>71</v>
      </c>
      <c r="E39" s="15" t="s">
        <v>71</v>
      </c>
      <c r="F39" s="15">
        <v>41</v>
      </c>
      <c r="G39" s="15">
        <v>173.1</v>
      </c>
      <c r="H39" s="15">
        <v>85</v>
      </c>
      <c r="I39" s="15">
        <v>29.43</v>
      </c>
      <c r="J39" s="15">
        <v>203.9</v>
      </c>
      <c r="K39" s="15">
        <v>107</v>
      </c>
      <c r="L39" s="15">
        <v>17.329999999999998</v>
      </c>
      <c r="M39" s="15">
        <v>122.2</v>
      </c>
      <c r="N39" s="15">
        <v>78</v>
      </c>
      <c r="O39" s="15">
        <v>5.5</v>
      </c>
      <c r="P39" s="15">
        <v>14.6</v>
      </c>
      <c r="Q39" s="15">
        <v>15</v>
      </c>
      <c r="R39" s="15">
        <v>3.94</v>
      </c>
      <c r="S39" s="15">
        <v>0</v>
      </c>
      <c r="T39" s="15" t="b">
        <v>1</v>
      </c>
      <c r="U39" s="16" t="s">
        <v>89</v>
      </c>
    </row>
    <row r="40" spans="1:21" ht="13.95" customHeight="1" x14ac:dyDescent="0.3">
      <c r="A40" s="13" t="s">
        <v>99</v>
      </c>
      <c r="B40" s="13">
        <v>34</v>
      </c>
      <c r="C40" s="13">
        <v>510</v>
      </c>
      <c r="D40" s="13" t="s">
        <v>70</v>
      </c>
      <c r="E40" s="13" t="s">
        <v>70</v>
      </c>
      <c r="F40" s="13">
        <v>0</v>
      </c>
      <c r="G40" s="13">
        <v>124.8</v>
      </c>
      <c r="H40" s="13">
        <v>82</v>
      </c>
      <c r="I40" s="13">
        <v>21.22</v>
      </c>
      <c r="J40" s="13">
        <v>282.2</v>
      </c>
      <c r="K40" s="13">
        <v>98</v>
      </c>
      <c r="L40" s="13">
        <v>23.99</v>
      </c>
      <c r="M40" s="13">
        <v>311.5</v>
      </c>
      <c r="N40" s="13">
        <v>78</v>
      </c>
      <c r="O40" s="13">
        <v>14.02</v>
      </c>
      <c r="P40" s="13">
        <v>10</v>
      </c>
      <c r="Q40" s="13">
        <v>4</v>
      </c>
      <c r="R40" s="13">
        <v>2.7</v>
      </c>
      <c r="S40" s="13">
        <v>2</v>
      </c>
      <c r="T40" s="13" t="b">
        <v>0</v>
      </c>
      <c r="U40" s="14" t="s">
        <v>72</v>
      </c>
    </row>
    <row r="41" spans="1:21" ht="13.95" customHeight="1" x14ac:dyDescent="0.3">
      <c r="A41" s="15" t="s">
        <v>83</v>
      </c>
      <c r="B41" s="15">
        <v>160</v>
      </c>
      <c r="C41" s="15">
        <v>415</v>
      </c>
      <c r="D41" s="15" t="s">
        <v>70</v>
      </c>
      <c r="E41" s="15" t="s">
        <v>70</v>
      </c>
      <c r="F41" s="15">
        <v>0</v>
      </c>
      <c r="G41" s="15">
        <v>85.8</v>
      </c>
      <c r="H41" s="15">
        <v>77</v>
      </c>
      <c r="I41" s="15">
        <v>14.59</v>
      </c>
      <c r="J41" s="15">
        <v>165.3</v>
      </c>
      <c r="K41" s="15">
        <v>110</v>
      </c>
      <c r="L41" s="15">
        <v>14.05</v>
      </c>
      <c r="M41" s="15">
        <v>178.5</v>
      </c>
      <c r="N41" s="15">
        <v>92</v>
      </c>
      <c r="O41" s="15">
        <v>8.0299999999999994</v>
      </c>
      <c r="P41" s="15">
        <v>9.1999999999999993</v>
      </c>
      <c r="Q41" s="15">
        <v>4</v>
      </c>
      <c r="R41" s="15">
        <v>2.48</v>
      </c>
      <c r="S41" s="15">
        <v>3</v>
      </c>
      <c r="T41" s="15" t="b">
        <v>0</v>
      </c>
      <c r="U41" s="14" t="s">
        <v>72</v>
      </c>
    </row>
    <row r="42" spans="1:21" ht="13.95" customHeight="1" x14ac:dyDescent="0.3">
      <c r="A42" s="13" t="s">
        <v>100</v>
      </c>
      <c r="B42" s="13">
        <v>64</v>
      </c>
      <c r="C42" s="13">
        <v>510</v>
      </c>
      <c r="D42" s="13" t="s">
        <v>70</v>
      </c>
      <c r="E42" s="13" t="s">
        <v>70</v>
      </c>
      <c r="F42" s="13">
        <v>0</v>
      </c>
      <c r="G42" s="13">
        <v>154</v>
      </c>
      <c r="H42" s="13">
        <v>67</v>
      </c>
      <c r="I42" s="13">
        <v>26.18</v>
      </c>
      <c r="J42" s="13">
        <v>225.8</v>
      </c>
      <c r="K42" s="13">
        <v>118</v>
      </c>
      <c r="L42" s="13">
        <v>19.190000000000001</v>
      </c>
      <c r="M42" s="13">
        <v>265.3</v>
      </c>
      <c r="N42" s="13">
        <v>86</v>
      </c>
      <c r="O42" s="13">
        <v>11.94</v>
      </c>
      <c r="P42" s="13">
        <v>3.5</v>
      </c>
      <c r="Q42" s="13">
        <v>3</v>
      </c>
      <c r="R42" s="13">
        <v>0.95</v>
      </c>
      <c r="S42" s="13">
        <v>1</v>
      </c>
      <c r="T42" s="13" t="b">
        <v>0</v>
      </c>
      <c r="U42" s="14" t="s">
        <v>72</v>
      </c>
    </row>
    <row r="43" spans="1:21" ht="13.95" customHeight="1" x14ac:dyDescent="0.3">
      <c r="A43" s="15" t="s">
        <v>101</v>
      </c>
      <c r="B43" s="15">
        <v>59</v>
      </c>
      <c r="C43" s="15">
        <v>408</v>
      </c>
      <c r="D43" s="15" t="s">
        <v>70</v>
      </c>
      <c r="E43" s="15" t="s">
        <v>71</v>
      </c>
      <c r="F43" s="15">
        <v>28</v>
      </c>
      <c r="G43" s="15">
        <v>120.9</v>
      </c>
      <c r="H43" s="15">
        <v>97</v>
      </c>
      <c r="I43" s="15">
        <v>20.55</v>
      </c>
      <c r="J43" s="15">
        <v>213</v>
      </c>
      <c r="K43" s="15">
        <v>92</v>
      </c>
      <c r="L43" s="15">
        <v>18.11</v>
      </c>
      <c r="M43" s="15">
        <v>163.1</v>
      </c>
      <c r="N43" s="15">
        <v>116</v>
      </c>
      <c r="O43" s="15">
        <v>7.34</v>
      </c>
      <c r="P43" s="15">
        <v>8.5</v>
      </c>
      <c r="Q43" s="15">
        <v>5</v>
      </c>
      <c r="R43" s="15">
        <v>2.2999999999999998</v>
      </c>
      <c r="S43" s="15">
        <v>2</v>
      </c>
      <c r="T43" s="15" t="b">
        <v>0</v>
      </c>
      <c r="U43" s="14" t="s">
        <v>72</v>
      </c>
    </row>
    <row r="44" spans="1:21" ht="13.95" customHeight="1" x14ac:dyDescent="0.3">
      <c r="A44" s="13" t="s">
        <v>102</v>
      </c>
      <c r="B44" s="13">
        <v>142</v>
      </c>
      <c r="C44" s="13">
        <v>408</v>
      </c>
      <c r="D44" s="13" t="s">
        <v>70</v>
      </c>
      <c r="E44" s="13" t="s">
        <v>70</v>
      </c>
      <c r="F44" s="13">
        <v>0</v>
      </c>
      <c r="G44" s="13">
        <v>187</v>
      </c>
      <c r="H44" s="13">
        <v>133</v>
      </c>
      <c r="I44" s="13">
        <v>31.79</v>
      </c>
      <c r="J44" s="13">
        <v>134.6</v>
      </c>
      <c r="K44" s="13">
        <v>74</v>
      </c>
      <c r="L44" s="13">
        <v>11.44</v>
      </c>
      <c r="M44" s="13">
        <v>242.2</v>
      </c>
      <c r="N44" s="13">
        <v>127</v>
      </c>
      <c r="O44" s="13">
        <v>10.9</v>
      </c>
      <c r="P44" s="13">
        <v>7.4</v>
      </c>
      <c r="Q44" s="13">
        <v>5</v>
      </c>
      <c r="R44" s="13">
        <v>2</v>
      </c>
      <c r="S44" s="13">
        <v>2</v>
      </c>
      <c r="T44" s="13" t="b">
        <v>0</v>
      </c>
      <c r="U44" s="14" t="s">
        <v>72</v>
      </c>
    </row>
    <row r="45" spans="1:21" ht="13.95" customHeight="1" x14ac:dyDescent="0.3">
      <c r="A45" s="15" t="s">
        <v>92</v>
      </c>
      <c r="B45" s="15">
        <v>97</v>
      </c>
      <c r="C45" s="15">
        <v>415</v>
      </c>
      <c r="D45" s="15" t="s">
        <v>70</v>
      </c>
      <c r="E45" s="15" t="s">
        <v>71</v>
      </c>
      <c r="F45" s="15">
        <v>24</v>
      </c>
      <c r="G45" s="15">
        <v>133.19999999999999</v>
      </c>
      <c r="H45" s="15">
        <v>135</v>
      </c>
      <c r="I45" s="15">
        <v>22.64</v>
      </c>
      <c r="J45" s="15">
        <v>217.2</v>
      </c>
      <c r="K45" s="15">
        <v>58</v>
      </c>
      <c r="L45" s="15">
        <v>18.46</v>
      </c>
      <c r="M45" s="15">
        <v>70.599999999999994</v>
      </c>
      <c r="N45" s="15">
        <v>79</v>
      </c>
      <c r="O45" s="15">
        <v>3.18</v>
      </c>
      <c r="P45" s="15">
        <v>11</v>
      </c>
      <c r="Q45" s="15">
        <v>3</v>
      </c>
      <c r="R45" s="15">
        <v>2.97</v>
      </c>
      <c r="S45" s="15">
        <v>1</v>
      </c>
      <c r="T45" s="15" t="b">
        <v>0</v>
      </c>
      <c r="U45" s="14" t="s">
        <v>72</v>
      </c>
    </row>
    <row r="46" spans="1:21" ht="13.95" customHeight="1" x14ac:dyDescent="0.3">
      <c r="A46" s="13" t="s">
        <v>81</v>
      </c>
      <c r="B46" s="13">
        <v>52</v>
      </c>
      <c r="C46" s="13">
        <v>408</v>
      </c>
      <c r="D46" s="13" t="s">
        <v>70</v>
      </c>
      <c r="E46" s="13" t="s">
        <v>70</v>
      </c>
      <c r="F46" s="13">
        <v>0</v>
      </c>
      <c r="G46" s="13">
        <v>191.9</v>
      </c>
      <c r="H46" s="13">
        <v>108</v>
      </c>
      <c r="I46" s="13">
        <v>32.619999999999997</v>
      </c>
      <c r="J46" s="13">
        <v>269.8</v>
      </c>
      <c r="K46" s="13">
        <v>96</v>
      </c>
      <c r="L46" s="13">
        <v>22.93</v>
      </c>
      <c r="M46" s="13">
        <v>236.8</v>
      </c>
      <c r="N46" s="13">
        <v>87</v>
      </c>
      <c r="O46" s="13">
        <v>10.66</v>
      </c>
      <c r="P46" s="13">
        <v>7.8</v>
      </c>
      <c r="Q46" s="13">
        <v>5</v>
      </c>
      <c r="R46" s="13">
        <v>2.11</v>
      </c>
      <c r="S46" s="13">
        <v>3</v>
      </c>
      <c r="T46" s="13" t="b">
        <v>0</v>
      </c>
      <c r="U46" s="14" t="s">
        <v>72</v>
      </c>
    </row>
    <row r="47" spans="1:21" ht="13.95" customHeight="1" x14ac:dyDescent="0.3">
      <c r="A47" s="15" t="s">
        <v>103</v>
      </c>
      <c r="B47" s="15">
        <v>60</v>
      </c>
      <c r="C47" s="15">
        <v>408</v>
      </c>
      <c r="D47" s="15" t="s">
        <v>70</v>
      </c>
      <c r="E47" s="15" t="s">
        <v>70</v>
      </c>
      <c r="F47" s="15">
        <v>0</v>
      </c>
      <c r="G47" s="15">
        <v>220.6</v>
      </c>
      <c r="H47" s="15">
        <v>57</v>
      </c>
      <c r="I47" s="15">
        <v>37.5</v>
      </c>
      <c r="J47" s="15">
        <v>211.1</v>
      </c>
      <c r="K47" s="15">
        <v>115</v>
      </c>
      <c r="L47" s="15">
        <v>17.940000000000001</v>
      </c>
      <c r="M47" s="15">
        <v>249</v>
      </c>
      <c r="N47" s="15">
        <v>129</v>
      </c>
      <c r="O47" s="15">
        <v>11.21</v>
      </c>
      <c r="P47" s="15">
        <v>6.8</v>
      </c>
      <c r="Q47" s="15">
        <v>3</v>
      </c>
      <c r="R47" s="15">
        <v>1.84</v>
      </c>
      <c r="S47" s="15">
        <v>1</v>
      </c>
      <c r="T47" s="15" t="b">
        <v>0</v>
      </c>
      <c r="U47" s="14" t="s">
        <v>72</v>
      </c>
    </row>
    <row r="48" spans="1:21" ht="13.95" customHeight="1" x14ac:dyDescent="0.3">
      <c r="A48" s="13" t="s">
        <v>104</v>
      </c>
      <c r="B48" s="13">
        <v>96</v>
      </c>
      <c r="C48" s="13">
        <v>415</v>
      </c>
      <c r="D48" s="13" t="s">
        <v>70</v>
      </c>
      <c r="E48" s="13" t="s">
        <v>70</v>
      </c>
      <c r="F48" s="13">
        <v>0</v>
      </c>
      <c r="G48" s="13">
        <v>160.19999999999999</v>
      </c>
      <c r="H48" s="13">
        <v>117</v>
      </c>
      <c r="I48" s="13">
        <v>27.23</v>
      </c>
      <c r="J48" s="13">
        <v>267.5</v>
      </c>
      <c r="K48" s="13">
        <v>67</v>
      </c>
      <c r="L48" s="13">
        <v>22.74</v>
      </c>
      <c r="M48" s="13">
        <v>228.5</v>
      </c>
      <c r="N48" s="13">
        <v>68</v>
      </c>
      <c r="O48" s="13">
        <v>10.28</v>
      </c>
      <c r="P48" s="13">
        <v>9.3000000000000007</v>
      </c>
      <c r="Q48" s="13">
        <v>5</v>
      </c>
      <c r="R48" s="13">
        <v>2.5099999999999998</v>
      </c>
      <c r="S48" s="13">
        <v>2</v>
      </c>
      <c r="T48" s="13" t="b">
        <v>0</v>
      </c>
      <c r="U48" s="14" t="s">
        <v>72</v>
      </c>
    </row>
    <row r="49" spans="1:21" ht="13.95" customHeight="1" x14ac:dyDescent="0.3">
      <c r="A49" s="15" t="s">
        <v>92</v>
      </c>
      <c r="B49" s="15">
        <v>87</v>
      </c>
      <c r="C49" s="15">
        <v>415</v>
      </c>
      <c r="D49" s="15" t="s">
        <v>70</v>
      </c>
      <c r="E49" s="15" t="s">
        <v>70</v>
      </c>
      <c r="F49" s="15">
        <v>0</v>
      </c>
      <c r="G49" s="15">
        <v>151</v>
      </c>
      <c r="H49" s="15">
        <v>83</v>
      </c>
      <c r="I49" s="15">
        <v>25.67</v>
      </c>
      <c r="J49" s="15">
        <v>219.7</v>
      </c>
      <c r="K49" s="15">
        <v>116</v>
      </c>
      <c r="L49" s="15">
        <v>18.670000000000002</v>
      </c>
      <c r="M49" s="15">
        <v>203.9</v>
      </c>
      <c r="N49" s="15">
        <v>127</v>
      </c>
      <c r="O49" s="15">
        <v>9.18</v>
      </c>
      <c r="P49" s="15">
        <v>9.6999999999999993</v>
      </c>
      <c r="Q49" s="15">
        <v>3</v>
      </c>
      <c r="R49" s="15">
        <v>2.62</v>
      </c>
      <c r="S49" s="15">
        <v>5</v>
      </c>
      <c r="T49" s="15" t="b">
        <v>1</v>
      </c>
      <c r="U49" s="16" t="s">
        <v>89</v>
      </c>
    </row>
    <row r="50" spans="1:21" ht="13.95" customHeight="1" x14ac:dyDescent="0.3">
      <c r="A50" s="13" t="s">
        <v>103</v>
      </c>
      <c r="B50" s="13">
        <v>81</v>
      </c>
      <c r="C50" s="13">
        <v>408</v>
      </c>
      <c r="D50" s="13" t="s">
        <v>70</v>
      </c>
      <c r="E50" s="13" t="s">
        <v>70</v>
      </c>
      <c r="F50" s="13">
        <v>0</v>
      </c>
      <c r="G50" s="13">
        <v>175.5</v>
      </c>
      <c r="H50" s="13">
        <v>67</v>
      </c>
      <c r="I50" s="13">
        <v>29.84</v>
      </c>
      <c r="J50" s="13">
        <v>249.3</v>
      </c>
      <c r="K50" s="13">
        <v>85</v>
      </c>
      <c r="L50" s="13">
        <v>21.19</v>
      </c>
      <c r="M50" s="13">
        <v>270.2</v>
      </c>
      <c r="N50" s="13">
        <v>98</v>
      </c>
      <c r="O50" s="13">
        <v>12.16</v>
      </c>
      <c r="P50" s="13">
        <v>10.199999999999999</v>
      </c>
      <c r="Q50" s="13">
        <v>3</v>
      </c>
      <c r="R50" s="13">
        <v>2.75</v>
      </c>
      <c r="S50" s="13">
        <v>1</v>
      </c>
      <c r="T50" s="13" t="b">
        <v>0</v>
      </c>
      <c r="U50" s="14" t="s">
        <v>72</v>
      </c>
    </row>
    <row r="51" spans="1:21" ht="13.95" customHeight="1" x14ac:dyDescent="0.3">
      <c r="A51" s="15" t="s">
        <v>88</v>
      </c>
      <c r="B51" s="15">
        <v>141</v>
      </c>
      <c r="C51" s="15">
        <v>415</v>
      </c>
      <c r="D51" s="15" t="s">
        <v>70</v>
      </c>
      <c r="E51" s="15" t="s">
        <v>70</v>
      </c>
      <c r="F51" s="15">
        <v>0</v>
      </c>
      <c r="G51" s="15">
        <v>126.9</v>
      </c>
      <c r="H51" s="15">
        <v>98</v>
      </c>
      <c r="I51" s="15">
        <v>21.57</v>
      </c>
      <c r="J51" s="15">
        <v>180</v>
      </c>
      <c r="K51" s="15">
        <v>62</v>
      </c>
      <c r="L51" s="15">
        <v>15.3</v>
      </c>
      <c r="M51" s="15">
        <v>140.80000000000001</v>
      </c>
      <c r="N51" s="15">
        <v>128</v>
      </c>
      <c r="O51" s="15">
        <v>6.34</v>
      </c>
      <c r="P51" s="15">
        <v>8</v>
      </c>
      <c r="Q51" s="15">
        <v>2</v>
      </c>
      <c r="R51" s="15">
        <v>2.16</v>
      </c>
      <c r="S51" s="15">
        <v>1</v>
      </c>
      <c r="T51" s="15" t="b">
        <v>0</v>
      </c>
      <c r="U51" s="14" t="s">
        <v>72</v>
      </c>
    </row>
    <row r="52" spans="1:21" ht="13.95" customHeight="1" x14ac:dyDescent="0.3">
      <c r="A52" s="13" t="s">
        <v>88</v>
      </c>
      <c r="B52" s="13">
        <v>121</v>
      </c>
      <c r="C52" s="13">
        <v>408</v>
      </c>
      <c r="D52" s="13" t="s">
        <v>70</v>
      </c>
      <c r="E52" s="13" t="s">
        <v>71</v>
      </c>
      <c r="F52" s="13">
        <v>30</v>
      </c>
      <c r="G52" s="13">
        <v>198.4</v>
      </c>
      <c r="H52" s="13">
        <v>129</v>
      </c>
      <c r="I52" s="13">
        <v>33.729999999999997</v>
      </c>
      <c r="J52" s="13">
        <v>75.3</v>
      </c>
      <c r="K52" s="13">
        <v>77</v>
      </c>
      <c r="L52" s="13">
        <v>6.4</v>
      </c>
      <c r="M52" s="13">
        <v>181.2</v>
      </c>
      <c r="N52" s="13">
        <v>77</v>
      </c>
      <c r="O52" s="13">
        <v>8.15</v>
      </c>
      <c r="P52" s="13">
        <v>5.8</v>
      </c>
      <c r="Q52" s="13">
        <v>3</v>
      </c>
      <c r="R52" s="13">
        <v>1.57</v>
      </c>
      <c r="S52" s="13">
        <v>3</v>
      </c>
      <c r="T52" s="13" t="b">
        <v>1</v>
      </c>
      <c r="U52" s="16" t="s">
        <v>89</v>
      </c>
    </row>
    <row r="53" spans="1:21" ht="13.95" customHeight="1" x14ac:dyDescent="0.3">
      <c r="A53" s="15" t="s">
        <v>75</v>
      </c>
      <c r="B53" s="15">
        <v>125</v>
      </c>
      <c r="C53" s="15">
        <v>408</v>
      </c>
      <c r="D53" s="15" t="s">
        <v>70</v>
      </c>
      <c r="E53" s="15" t="s">
        <v>70</v>
      </c>
      <c r="F53" s="15">
        <v>0</v>
      </c>
      <c r="G53" s="15">
        <v>229.3</v>
      </c>
      <c r="H53" s="15">
        <v>103</v>
      </c>
      <c r="I53" s="15">
        <v>38.979999999999997</v>
      </c>
      <c r="J53" s="15">
        <v>177.4</v>
      </c>
      <c r="K53" s="15">
        <v>126</v>
      </c>
      <c r="L53" s="15">
        <v>15.08</v>
      </c>
      <c r="M53" s="15">
        <v>189.3</v>
      </c>
      <c r="N53" s="15">
        <v>95</v>
      </c>
      <c r="O53" s="15">
        <v>8.52</v>
      </c>
      <c r="P53" s="15">
        <v>12</v>
      </c>
      <c r="Q53" s="15">
        <v>8</v>
      </c>
      <c r="R53" s="15">
        <v>3.24</v>
      </c>
      <c r="S53" s="15">
        <v>1</v>
      </c>
      <c r="T53" s="15" t="b">
        <v>0</v>
      </c>
      <c r="U53" s="14" t="s">
        <v>72</v>
      </c>
    </row>
    <row r="54" spans="1:21" ht="13.95" customHeight="1" x14ac:dyDescent="0.3">
      <c r="A54" s="13" t="s">
        <v>83</v>
      </c>
      <c r="B54" s="13">
        <v>174</v>
      </c>
      <c r="C54" s="13">
        <v>408</v>
      </c>
      <c r="D54" s="13" t="s">
        <v>70</v>
      </c>
      <c r="E54" s="13" t="s">
        <v>70</v>
      </c>
      <c r="F54" s="13">
        <v>0</v>
      </c>
      <c r="G54" s="13">
        <v>192.1</v>
      </c>
      <c r="H54" s="13">
        <v>97</v>
      </c>
      <c r="I54" s="13">
        <v>32.659999999999997</v>
      </c>
      <c r="J54" s="13">
        <v>169.9</v>
      </c>
      <c r="K54" s="13">
        <v>94</v>
      </c>
      <c r="L54" s="13">
        <v>14.44</v>
      </c>
      <c r="M54" s="13">
        <v>166.6</v>
      </c>
      <c r="N54" s="13">
        <v>54</v>
      </c>
      <c r="O54" s="13">
        <v>7.5</v>
      </c>
      <c r="P54" s="13">
        <v>11.4</v>
      </c>
      <c r="Q54" s="13">
        <v>4</v>
      </c>
      <c r="R54" s="13">
        <v>3.08</v>
      </c>
      <c r="S54" s="13">
        <v>1</v>
      </c>
      <c r="T54" s="13" t="b">
        <v>0</v>
      </c>
      <c r="U54" s="14" t="s">
        <v>72</v>
      </c>
    </row>
    <row r="55" spans="1:21" ht="13.95" customHeight="1" x14ac:dyDescent="0.3">
      <c r="A55" s="15" t="s">
        <v>105</v>
      </c>
      <c r="B55" s="15">
        <v>116</v>
      </c>
      <c r="C55" s="15">
        <v>415</v>
      </c>
      <c r="D55" s="15" t="s">
        <v>70</v>
      </c>
      <c r="E55" s="15" t="s">
        <v>71</v>
      </c>
      <c r="F55" s="15">
        <v>34</v>
      </c>
      <c r="G55" s="15">
        <v>268.60000000000002</v>
      </c>
      <c r="H55" s="15">
        <v>83</v>
      </c>
      <c r="I55" s="15">
        <v>45.66</v>
      </c>
      <c r="J55" s="15">
        <v>178.2</v>
      </c>
      <c r="K55" s="15">
        <v>142</v>
      </c>
      <c r="L55" s="15">
        <v>15.15</v>
      </c>
      <c r="M55" s="15">
        <v>166.3</v>
      </c>
      <c r="N55" s="15">
        <v>106</v>
      </c>
      <c r="O55" s="15">
        <v>7.48</v>
      </c>
      <c r="P55" s="15">
        <v>11.6</v>
      </c>
      <c r="Q55" s="15">
        <v>3</v>
      </c>
      <c r="R55" s="15">
        <v>3.13</v>
      </c>
      <c r="S55" s="15">
        <v>2</v>
      </c>
      <c r="T55" s="15" t="b">
        <v>0</v>
      </c>
      <c r="U55" s="14" t="s">
        <v>72</v>
      </c>
    </row>
    <row r="56" spans="1:21" ht="13.95" customHeight="1" x14ac:dyDescent="0.3">
      <c r="A56" s="13" t="s">
        <v>106</v>
      </c>
      <c r="B56" s="13">
        <v>149</v>
      </c>
      <c r="C56" s="13">
        <v>408</v>
      </c>
      <c r="D56" s="13" t="s">
        <v>70</v>
      </c>
      <c r="E56" s="13" t="s">
        <v>71</v>
      </c>
      <c r="F56" s="13">
        <v>28</v>
      </c>
      <c r="G56" s="13">
        <v>180.7</v>
      </c>
      <c r="H56" s="13">
        <v>92</v>
      </c>
      <c r="I56" s="13">
        <v>30.72</v>
      </c>
      <c r="J56" s="13">
        <v>187.8</v>
      </c>
      <c r="K56" s="13">
        <v>64</v>
      </c>
      <c r="L56" s="13">
        <v>15.96</v>
      </c>
      <c r="M56" s="13">
        <v>265.5</v>
      </c>
      <c r="N56" s="13">
        <v>53</v>
      </c>
      <c r="O56" s="13">
        <v>11.95</v>
      </c>
      <c r="P56" s="13">
        <v>12.6</v>
      </c>
      <c r="Q56" s="13">
        <v>3</v>
      </c>
      <c r="R56" s="13">
        <v>3.4</v>
      </c>
      <c r="S56" s="13">
        <v>3</v>
      </c>
      <c r="T56" s="13" t="b">
        <v>0</v>
      </c>
      <c r="U56" s="14" t="s">
        <v>72</v>
      </c>
    </row>
    <row r="57" spans="1:21" ht="13.95" customHeight="1" x14ac:dyDescent="0.3">
      <c r="A57" s="15" t="s">
        <v>107</v>
      </c>
      <c r="B57" s="15">
        <v>38</v>
      </c>
      <c r="C57" s="15">
        <v>408</v>
      </c>
      <c r="D57" s="15" t="s">
        <v>70</v>
      </c>
      <c r="E57" s="15" t="s">
        <v>70</v>
      </c>
      <c r="F57" s="15">
        <v>0</v>
      </c>
      <c r="G57" s="15">
        <v>131.19999999999999</v>
      </c>
      <c r="H57" s="15">
        <v>98</v>
      </c>
      <c r="I57" s="15">
        <v>22.3</v>
      </c>
      <c r="J57" s="15">
        <v>162.9</v>
      </c>
      <c r="K57" s="15">
        <v>97</v>
      </c>
      <c r="L57" s="15">
        <v>13.85</v>
      </c>
      <c r="M57" s="15">
        <v>159</v>
      </c>
      <c r="N57" s="15">
        <v>106</v>
      </c>
      <c r="O57" s="15">
        <v>7.15</v>
      </c>
      <c r="P57" s="15">
        <v>8.1999999999999993</v>
      </c>
      <c r="Q57" s="15">
        <v>6</v>
      </c>
      <c r="R57" s="15">
        <v>2.21</v>
      </c>
      <c r="S57" s="15">
        <v>2</v>
      </c>
      <c r="T57" s="15" t="b">
        <v>0</v>
      </c>
      <c r="U57" s="14" t="s">
        <v>72</v>
      </c>
    </row>
    <row r="58" spans="1:21" ht="13.95" customHeight="1" x14ac:dyDescent="0.3">
      <c r="A58" s="13" t="s">
        <v>108</v>
      </c>
      <c r="B58" s="13">
        <v>40</v>
      </c>
      <c r="C58" s="13">
        <v>415</v>
      </c>
      <c r="D58" s="13" t="s">
        <v>70</v>
      </c>
      <c r="E58" s="13" t="s">
        <v>71</v>
      </c>
      <c r="F58" s="13">
        <v>41</v>
      </c>
      <c r="G58" s="13">
        <v>148.1</v>
      </c>
      <c r="H58" s="13">
        <v>74</v>
      </c>
      <c r="I58" s="13">
        <v>25.18</v>
      </c>
      <c r="J58" s="13">
        <v>169.5</v>
      </c>
      <c r="K58" s="13">
        <v>88</v>
      </c>
      <c r="L58" s="13">
        <v>14.41</v>
      </c>
      <c r="M58" s="13">
        <v>214.1</v>
      </c>
      <c r="N58" s="13">
        <v>102</v>
      </c>
      <c r="O58" s="13">
        <v>9.6300000000000008</v>
      </c>
      <c r="P58" s="13">
        <v>6.2</v>
      </c>
      <c r="Q58" s="13">
        <v>5</v>
      </c>
      <c r="R58" s="13">
        <v>1.67</v>
      </c>
      <c r="S58" s="13">
        <v>2</v>
      </c>
      <c r="T58" s="13" t="b">
        <v>0</v>
      </c>
      <c r="U58" s="14" t="s">
        <v>72</v>
      </c>
    </row>
    <row r="59" spans="1:21" ht="13.95" customHeight="1" x14ac:dyDescent="0.3">
      <c r="A59" s="15" t="s">
        <v>92</v>
      </c>
      <c r="B59" s="15">
        <v>43</v>
      </c>
      <c r="C59" s="15">
        <v>415</v>
      </c>
      <c r="D59" s="15" t="s">
        <v>71</v>
      </c>
      <c r="E59" s="15" t="s">
        <v>70</v>
      </c>
      <c r="F59" s="15">
        <v>0</v>
      </c>
      <c r="G59" s="15">
        <v>251.5</v>
      </c>
      <c r="H59" s="15">
        <v>105</v>
      </c>
      <c r="I59" s="15">
        <v>42.76</v>
      </c>
      <c r="J59" s="15">
        <v>212.8</v>
      </c>
      <c r="K59" s="15">
        <v>104</v>
      </c>
      <c r="L59" s="15">
        <v>18.09</v>
      </c>
      <c r="M59" s="15">
        <v>157.80000000000001</v>
      </c>
      <c r="N59" s="15">
        <v>67</v>
      </c>
      <c r="O59" s="15">
        <v>7.1</v>
      </c>
      <c r="P59" s="15">
        <v>9.3000000000000007</v>
      </c>
      <c r="Q59" s="15">
        <v>4</v>
      </c>
      <c r="R59" s="15">
        <v>2.5099999999999998</v>
      </c>
      <c r="S59" s="15">
        <v>0</v>
      </c>
      <c r="T59" s="15" t="b">
        <v>0</v>
      </c>
      <c r="U59" s="14" t="s">
        <v>72</v>
      </c>
    </row>
    <row r="60" spans="1:21" ht="13.95" customHeight="1" x14ac:dyDescent="0.3">
      <c r="A60" s="13" t="s">
        <v>109</v>
      </c>
      <c r="B60" s="13">
        <v>113</v>
      </c>
      <c r="C60" s="13">
        <v>408</v>
      </c>
      <c r="D60" s="13" t="s">
        <v>71</v>
      </c>
      <c r="E60" s="13" t="s">
        <v>70</v>
      </c>
      <c r="F60" s="13">
        <v>0</v>
      </c>
      <c r="G60" s="13">
        <v>125.2</v>
      </c>
      <c r="H60" s="13">
        <v>93</v>
      </c>
      <c r="I60" s="13">
        <v>21.28</v>
      </c>
      <c r="J60" s="13">
        <v>206.4</v>
      </c>
      <c r="K60" s="13">
        <v>119</v>
      </c>
      <c r="L60" s="13">
        <v>17.54</v>
      </c>
      <c r="M60" s="13">
        <v>129.30000000000001</v>
      </c>
      <c r="N60" s="13">
        <v>139</v>
      </c>
      <c r="O60" s="13">
        <v>5.82</v>
      </c>
      <c r="P60" s="13">
        <v>8.3000000000000007</v>
      </c>
      <c r="Q60" s="13">
        <v>8</v>
      </c>
      <c r="R60" s="13">
        <v>2.2400000000000002</v>
      </c>
      <c r="S60" s="13">
        <v>0</v>
      </c>
      <c r="T60" s="13" t="b">
        <v>0</v>
      </c>
      <c r="U60" s="14" t="s">
        <v>72</v>
      </c>
    </row>
    <row r="61" spans="1:21" ht="13.95" customHeight="1" x14ac:dyDescent="0.3">
      <c r="A61" s="15" t="s">
        <v>104</v>
      </c>
      <c r="B61" s="15">
        <v>126</v>
      </c>
      <c r="C61" s="15">
        <v>408</v>
      </c>
      <c r="D61" s="15" t="s">
        <v>70</v>
      </c>
      <c r="E61" s="15" t="s">
        <v>70</v>
      </c>
      <c r="F61" s="15">
        <v>0</v>
      </c>
      <c r="G61" s="15">
        <v>211.6</v>
      </c>
      <c r="H61" s="15">
        <v>70</v>
      </c>
      <c r="I61" s="15">
        <v>35.97</v>
      </c>
      <c r="J61" s="15">
        <v>216.9</v>
      </c>
      <c r="K61" s="15">
        <v>80</v>
      </c>
      <c r="L61" s="15">
        <v>18.440000000000001</v>
      </c>
      <c r="M61" s="15">
        <v>153.5</v>
      </c>
      <c r="N61" s="15">
        <v>60</v>
      </c>
      <c r="O61" s="15">
        <v>6.91</v>
      </c>
      <c r="P61" s="15">
        <v>7.8</v>
      </c>
      <c r="Q61" s="15">
        <v>1</v>
      </c>
      <c r="R61" s="15">
        <v>2.11</v>
      </c>
      <c r="S61" s="15">
        <v>1</v>
      </c>
      <c r="T61" s="15" t="b">
        <v>0</v>
      </c>
      <c r="U61" s="14" t="s">
        <v>72</v>
      </c>
    </row>
    <row r="62" spans="1:21" ht="13.95" customHeight="1" x14ac:dyDescent="0.3">
      <c r="A62" s="13" t="s">
        <v>86</v>
      </c>
      <c r="B62" s="13">
        <v>150</v>
      </c>
      <c r="C62" s="13">
        <v>510</v>
      </c>
      <c r="D62" s="13" t="s">
        <v>70</v>
      </c>
      <c r="E62" s="13" t="s">
        <v>70</v>
      </c>
      <c r="F62" s="13">
        <v>0</v>
      </c>
      <c r="G62" s="13">
        <v>178.9</v>
      </c>
      <c r="H62" s="13">
        <v>101</v>
      </c>
      <c r="I62" s="13">
        <v>30.41</v>
      </c>
      <c r="J62" s="13">
        <v>169.1</v>
      </c>
      <c r="K62" s="13">
        <v>110</v>
      </c>
      <c r="L62" s="13">
        <v>14.37</v>
      </c>
      <c r="M62" s="13">
        <v>148.6</v>
      </c>
      <c r="N62" s="13">
        <v>100</v>
      </c>
      <c r="O62" s="13">
        <v>6.69</v>
      </c>
      <c r="P62" s="13">
        <v>13.8</v>
      </c>
      <c r="Q62" s="13">
        <v>3</v>
      </c>
      <c r="R62" s="13">
        <v>3.73</v>
      </c>
      <c r="S62" s="13">
        <v>4</v>
      </c>
      <c r="T62" s="13" t="b">
        <v>1</v>
      </c>
      <c r="U62" s="16" t="s">
        <v>89</v>
      </c>
    </row>
    <row r="63" spans="1:21" ht="13.95" customHeight="1" x14ac:dyDescent="0.3">
      <c r="A63" s="15" t="s">
        <v>74</v>
      </c>
      <c r="B63" s="15">
        <v>138</v>
      </c>
      <c r="C63" s="15">
        <v>408</v>
      </c>
      <c r="D63" s="15" t="s">
        <v>70</v>
      </c>
      <c r="E63" s="15" t="s">
        <v>70</v>
      </c>
      <c r="F63" s="15">
        <v>0</v>
      </c>
      <c r="G63" s="15">
        <v>241.8</v>
      </c>
      <c r="H63" s="15">
        <v>93</v>
      </c>
      <c r="I63" s="15">
        <v>41.11</v>
      </c>
      <c r="J63" s="15">
        <v>170.5</v>
      </c>
      <c r="K63" s="15">
        <v>83</v>
      </c>
      <c r="L63" s="15">
        <v>14.49</v>
      </c>
      <c r="M63" s="15">
        <v>295.3</v>
      </c>
      <c r="N63" s="15">
        <v>104</v>
      </c>
      <c r="O63" s="15">
        <v>13.29</v>
      </c>
      <c r="P63" s="15">
        <v>11.8</v>
      </c>
      <c r="Q63" s="15">
        <v>7</v>
      </c>
      <c r="R63" s="15">
        <v>3.19</v>
      </c>
      <c r="S63" s="15">
        <v>3</v>
      </c>
      <c r="T63" s="15" t="b">
        <v>0</v>
      </c>
      <c r="U63" s="14" t="s">
        <v>72</v>
      </c>
    </row>
    <row r="64" spans="1:21" ht="13.95" customHeight="1" x14ac:dyDescent="0.3">
      <c r="A64" s="13" t="s">
        <v>109</v>
      </c>
      <c r="B64" s="13">
        <v>162</v>
      </c>
      <c r="C64" s="13">
        <v>510</v>
      </c>
      <c r="D64" s="13" t="s">
        <v>70</v>
      </c>
      <c r="E64" s="13" t="s">
        <v>71</v>
      </c>
      <c r="F64" s="13">
        <v>46</v>
      </c>
      <c r="G64" s="13">
        <v>224.9</v>
      </c>
      <c r="H64" s="13">
        <v>97</v>
      </c>
      <c r="I64" s="13">
        <v>38.229999999999997</v>
      </c>
      <c r="J64" s="13">
        <v>188.2</v>
      </c>
      <c r="K64" s="13">
        <v>84</v>
      </c>
      <c r="L64" s="13">
        <v>16</v>
      </c>
      <c r="M64" s="13">
        <v>254.6</v>
      </c>
      <c r="N64" s="13">
        <v>61</v>
      </c>
      <c r="O64" s="13">
        <v>11.46</v>
      </c>
      <c r="P64" s="13">
        <v>12.1</v>
      </c>
      <c r="Q64" s="13">
        <v>2</v>
      </c>
      <c r="R64" s="13">
        <v>3.27</v>
      </c>
      <c r="S64" s="13">
        <v>0</v>
      </c>
      <c r="T64" s="13" t="b">
        <v>0</v>
      </c>
      <c r="U64" s="14" t="s">
        <v>72</v>
      </c>
    </row>
    <row r="65" spans="1:21" ht="13.95" customHeight="1" x14ac:dyDescent="0.3">
      <c r="A65" s="15" t="s">
        <v>110</v>
      </c>
      <c r="B65" s="15">
        <v>147</v>
      </c>
      <c r="C65" s="15">
        <v>510</v>
      </c>
      <c r="D65" s="15" t="s">
        <v>70</v>
      </c>
      <c r="E65" s="15" t="s">
        <v>70</v>
      </c>
      <c r="F65" s="15">
        <v>0</v>
      </c>
      <c r="G65" s="15">
        <v>248.6</v>
      </c>
      <c r="H65" s="15">
        <v>83</v>
      </c>
      <c r="I65" s="15">
        <v>42.26</v>
      </c>
      <c r="J65" s="15">
        <v>148.9</v>
      </c>
      <c r="K65" s="15">
        <v>85</v>
      </c>
      <c r="L65" s="15">
        <v>12.66</v>
      </c>
      <c r="M65" s="15">
        <v>172.5</v>
      </c>
      <c r="N65" s="15">
        <v>109</v>
      </c>
      <c r="O65" s="15">
        <v>7.76</v>
      </c>
      <c r="P65" s="15">
        <v>8</v>
      </c>
      <c r="Q65" s="15">
        <v>4</v>
      </c>
      <c r="R65" s="15">
        <v>2.16</v>
      </c>
      <c r="S65" s="15">
        <v>3</v>
      </c>
      <c r="T65" s="15" t="b">
        <v>0</v>
      </c>
      <c r="U65" s="14" t="s">
        <v>72</v>
      </c>
    </row>
    <row r="66" spans="1:21" ht="13.95" customHeight="1" x14ac:dyDescent="0.3">
      <c r="A66" s="13" t="s">
        <v>111</v>
      </c>
      <c r="B66" s="13">
        <v>90</v>
      </c>
      <c r="C66" s="13">
        <v>415</v>
      </c>
      <c r="D66" s="13" t="s">
        <v>70</v>
      </c>
      <c r="E66" s="13" t="s">
        <v>70</v>
      </c>
      <c r="F66" s="13">
        <v>0</v>
      </c>
      <c r="G66" s="13">
        <v>203.4</v>
      </c>
      <c r="H66" s="13">
        <v>146</v>
      </c>
      <c r="I66" s="13">
        <v>34.58</v>
      </c>
      <c r="J66" s="13">
        <v>226.7</v>
      </c>
      <c r="K66" s="13">
        <v>117</v>
      </c>
      <c r="L66" s="13">
        <v>19.27</v>
      </c>
      <c r="M66" s="13">
        <v>152.4</v>
      </c>
      <c r="N66" s="13">
        <v>105</v>
      </c>
      <c r="O66" s="13">
        <v>6.86</v>
      </c>
      <c r="P66" s="13">
        <v>7.3</v>
      </c>
      <c r="Q66" s="13">
        <v>4</v>
      </c>
      <c r="R66" s="13">
        <v>1.97</v>
      </c>
      <c r="S66" s="13">
        <v>1</v>
      </c>
      <c r="T66" s="13" t="b">
        <v>0</v>
      </c>
      <c r="U66" s="14" t="s">
        <v>72</v>
      </c>
    </row>
    <row r="67" spans="1:21" ht="13.95" customHeight="1" x14ac:dyDescent="0.3">
      <c r="A67" s="15" t="s">
        <v>109</v>
      </c>
      <c r="B67" s="15">
        <v>50</v>
      </c>
      <c r="C67" s="15">
        <v>415</v>
      </c>
      <c r="D67" s="15" t="s">
        <v>70</v>
      </c>
      <c r="E67" s="15" t="s">
        <v>70</v>
      </c>
      <c r="F67" s="15">
        <v>0</v>
      </c>
      <c r="G67" s="15">
        <v>157.1</v>
      </c>
      <c r="H67" s="15">
        <v>90</v>
      </c>
      <c r="I67" s="15">
        <v>26.71</v>
      </c>
      <c r="J67" s="15">
        <v>223.3</v>
      </c>
      <c r="K67" s="15">
        <v>72</v>
      </c>
      <c r="L67" s="15">
        <v>18.98</v>
      </c>
      <c r="M67" s="15">
        <v>181.4</v>
      </c>
      <c r="N67" s="15">
        <v>111</v>
      </c>
      <c r="O67" s="15">
        <v>8.16</v>
      </c>
      <c r="P67" s="15">
        <v>6.1</v>
      </c>
      <c r="Q67" s="15">
        <v>2</v>
      </c>
      <c r="R67" s="15">
        <v>1.65</v>
      </c>
      <c r="S67" s="15">
        <v>1</v>
      </c>
      <c r="T67" s="15" t="b">
        <v>0</v>
      </c>
      <c r="U67" s="14" t="s">
        <v>72</v>
      </c>
    </row>
    <row r="68" spans="1:21" ht="13.95" customHeight="1" x14ac:dyDescent="0.3">
      <c r="A68" s="13" t="s">
        <v>112</v>
      </c>
      <c r="B68" s="13">
        <v>82</v>
      </c>
      <c r="C68" s="13">
        <v>415</v>
      </c>
      <c r="D68" s="13" t="s">
        <v>70</v>
      </c>
      <c r="E68" s="13" t="s">
        <v>70</v>
      </c>
      <c r="F68" s="13">
        <v>0</v>
      </c>
      <c r="G68" s="13">
        <v>300.3</v>
      </c>
      <c r="H68" s="13">
        <v>109</v>
      </c>
      <c r="I68" s="13">
        <v>51.05</v>
      </c>
      <c r="J68" s="13">
        <v>181</v>
      </c>
      <c r="K68" s="13">
        <v>100</v>
      </c>
      <c r="L68" s="13">
        <v>15.39</v>
      </c>
      <c r="M68" s="13">
        <v>270.10000000000002</v>
      </c>
      <c r="N68" s="13">
        <v>73</v>
      </c>
      <c r="O68" s="13">
        <v>12.15</v>
      </c>
      <c r="P68" s="13">
        <v>11.7</v>
      </c>
      <c r="Q68" s="13">
        <v>4</v>
      </c>
      <c r="R68" s="13">
        <v>3.16</v>
      </c>
      <c r="S68" s="13">
        <v>0</v>
      </c>
      <c r="T68" s="13" t="b">
        <v>1</v>
      </c>
      <c r="U68" s="16" t="s">
        <v>89</v>
      </c>
    </row>
    <row r="69" spans="1:21" ht="13.95" customHeight="1" x14ac:dyDescent="0.3">
      <c r="A69" s="15" t="s">
        <v>113</v>
      </c>
      <c r="B69" s="15">
        <v>144</v>
      </c>
      <c r="C69" s="15">
        <v>408</v>
      </c>
      <c r="D69" s="15" t="s">
        <v>70</v>
      </c>
      <c r="E69" s="15" t="s">
        <v>70</v>
      </c>
      <c r="F69" s="15">
        <v>0</v>
      </c>
      <c r="G69" s="15">
        <v>61.6</v>
      </c>
      <c r="H69" s="15">
        <v>117</v>
      </c>
      <c r="I69" s="15">
        <v>10.47</v>
      </c>
      <c r="J69" s="15">
        <v>77.099999999999994</v>
      </c>
      <c r="K69" s="15">
        <v>85</v>
      </c>
      <c r="L69" s="15">
        <v>6.55</v>
      </c>
      <c r="M69" s="15">
        <v>173</v>
      </c>
      <c r="N69" s="15">
        <v>99</v>
      </c>
      <c r="O69" s="15">
        <v>7.79</v>
      </c>
      <c r="P69" s="15">
        <v>8.1999999999999993</v>
      </c>
      <c r="Q69" s="15">
        <v>7</v>
      </c>
      <c r="R69" s="15">
        <v>2.21</v>
      </c>
      <c r="S69" s="15">
        <v>4</v>
      </c>
      <c r="T69" s="15" t="b">
        <v>1</v>
      </c>
      <c r="U69" s="16" t="s">
        <v>89</v>
      </c>
    </row>
    <row r="70" spans="1:21" ht="13.95" customHeight="1" x14ac:dyDescent="0.3">
      <c r="A70" s="13" t="s">
        <v>98</v>
      </c>
      <c r="B70" s="13">
        <v>70</v>
      </c>
      <c r="C70" s="13">
        <v>408</v>
      </c>
      <c r="D70" s="13" t="s">
        <v>70</v>
      </c>
      <c r="E70" s="13" t="s">
        <v>70</v>
      </c>
      <c r="F70" s="13">
        <v>0</v>
      </c>
      <c r="G70" s="13">
        <v>170.2</v>
      </c>
      <c r="H70" s="13">
        <v>98</v>
      </c>
      <c r="I70" s="13">
        <v>28.93</v>
      </c>
      <c r="J70" s="13">
        <v>155.19999999999999</v>
      </c>
      <c r="K70" s="13">
        <v>102</v>
      </c>
      <c r="L70" s="13">
        <v>13.19</v>
      </c>
      <c r="M70" s="13">
        <v>228.6</v>
      </c>
      <c r="N70" s="13">
        <v>76</v>
      </c>
      <c r="O70" s="13">
        <v>10.29</v>
      </c>
      <c r="P70" s="13">
        <v>15</v>
      </c>
      <c r="Q70" s="13">
        <v>2</v>
      </c>
      <c r="R70" s="13">
        <v>4.05</v>
      </c>
      <c r="S70" s="13">
        <v>1</v>
      </c>
      <c r="T70" s="13" t="b">
        <v>0</v>
      </c>
      <c r="U70" s="14" t="s">
        <v>72</v>
      </c>
    </row>
    <row r="71" spans="1:21" ht="13.95" customHeight="1" x14ac:dyDescent="0.3">
      <c r="A71" s="15" t="s">
        <v>79</v>
      </c>
      <c r="B71" s="15">
        <v>144</v>
      </c>
      <c r="C71" s="15">
        <v>415</v>
      </c>
      <c r="D71" s="15" t="s">
        <v>70</v>
      </c>
      <c r="E71" s="15" t="s">
        <v>70</v>
      </c>
      <c r="F71" s="15">
        <v>0</v>
      </c>
      <c r="G71" s="15">
        <v>201.1</v>
      </c>
      <c r="H71" s="15">
        <v>99</v>
      </c>
      <c r="I71" s="15">
        <v>34.19</v>
      </c>
      <c r="J71" s="15">
        <v>303.5</v>
      </c>
      <c r="K71" s="15">
        <v>74</v>
      </c>
      <c r="L71" s="15">
        <v>25.8</v>
      </c>
      <c r="M71" s="15">
        <v>224</v>
      </c>
      <c r="N71" s="15">
        <v>119</v>
      </c>
      <c r="O71" s="15">
        <v>10.08</v>
      </c>
      <c r="P71" s="15">
        <v>13.2</v>
      </c>
      <c r="Q71" s="15">
        <v>2</v>
      </c>
      <c r="R71" s="15">
        <v>3.56</v>
      </c>
      <c r="S71" s="15">
        <v>1</v>
      </c>
      <c r="T71" s="15" t="b">
        <v>0</v>
      </c>
      <c r="U71" s="14" t="s">
        <v>72</v>
      </c>
    </row>
    <row r="72" spans="1:21" ht="13.95" customHeight="1" x14ac:dyDescent="0.3">
      <c r="A72" s="13" t="s">
        <v>101</v>
      </c>
      <c r="B72" s="13">
        <v>116</v>
      </c>
      <c r="C72" s="13">
        <v>415</v>
      </c>
      <c r="D72" s="13" t="s">
        <v>71</v>
      </c>
      <c r="E72" s="13" t="s">
        <v>70</v>
      </c>
      <c r="F72" s="13">
        <v>0</v>
      </c>
      <c r="G72" s="13">
        <v>215.4</v>
      </c>
      <c r="H72" s="13">
        <v>104</v>
      </c>
      <c r="I72" s="13">
        <v>36.619999999999997</v>
      </c>
      <c r="J72" s="13">
        <v>204.8</v>
      </c>
      <c r="K72" s="13">
        <v>79</v>
      </c>
      <c r="L72" s="13">
        <v>17.41</v>
      </c>
      <c r="M72" s="13">
        <v>278.5</v>
      </c>
      <c r="N72" s="13">
        <v>109</v>
      </c>
      <c r="O72" s="13">
        <v>12.53</v>
      </c>
      <c r="P72" s="13">
        <v>12.6</v>
      </c>
      <c r="Q72" s="13">
        <v>5</v>
      </c>
      <c r="R72" s="13">
        <v>3.4</v>
      </c>
      <c r="S72" s="13">
        <v>3</v>
      </c>
      <c r="T72" s="13" t="b">
        <v>0</v>
      </c>
      <c r="U72" s="14" t="s">
        <v>72</v>
      </c>
    </row>
    <row r="73" spans="1:21" ht="13.95" customHeight="1" x14ac:dyDescent="0.3">
      <c r="A73" s="15" t="s">
        <v>88</v>
      </c>
      <c r="B73" s="15">
        <v>55</v>
      </c>
      <c r="C73" s="15">
        <v>408</v>
      </c>
      <c r="D73" s="15" t="s">
        <v>70</v>
      </c>
      <c r="E73" s="15" t="s">
        <v>71</v>
      </c>
      <c r="F73" s="15">
        <v>25</v>
      </c>
      <c r="G73" s="15">
        <v>165.6</v>
      </c>
      <c r="H73" s="15">
        <v>123</v>
      </c>
      <c r="I73" s="15">
        <v>28.15</v>
      </c>
      <c r="J73" s="15">
        <v>136.1</v>
      </c>
      <c r="K73" s="15">
        <v>95</v>
      </c>
      <c r="L73" s="15">
        <v>11.57</v>
      </c>
      <c r="M73" s="15">
        <v>175.7</v>
      </c>
      <c r="N73" s="15">
        <v>90</v>
      </c>
      <c r="O73" s="15">
        <v>7.91</v>
      </c>
      <c r="P73" s="15">
        <v>11</v>
      </c>
      <c r="Q73" s="15">
        <v>2</v>
      </c>
      <c r="R73" s="15">
        <v>2.97</v>
      </c>
      <c r="S73" s="15">
        <v>3</v>
      </c>
      <c r="T73" s="15" t="b">
        <v>0</v>
      </c>
      <c r="U73" s="14" t="s">
        <v>72</v>
      </c>
    </row>
    <row r="74" spans="1:21" ht="13.95" customHeight="1" x14ac:dyDescent="0.3">
      <c r="A74" s="13" t="s">
        <v>96</v>
      </c>
      <c r="B74" s="13">
        <v>70</v>
      </c>
      <c r="C74" s="13">
        <v>415</v>
      </c>
      <c r="D74" s="13" t="s">
        <v>70</v>
      </c>
      <c r="E74" s="13" t="s">
        <v>71</v>
      </c>
      <c r="F74" s="13">
        <v>24</v>
      </c>
      <c r="G74" s="13">
        <v>249.5</v>
      </c>
      <c r="H74" s="13">
        <v>101</v>
      </c>
      <c r="I74" s="13">
        <v>42.42</v>
      </c>
      <c r="J74" s="13">
        <v>259.7</v>
      </c>
      <c r="K74" s="13">
        <v>98</v>
      </c>
      <c r="L74" s="13">
        <v>22.07</v>
      </c>
      <c r="M74" s="13">
        <v>222.7</v>
      </c>
      <c r="N74" s="13">
        <v>68</v>
      </c>
      <c r="O74" s="13">
        <v>10.02</v>
      </c>
      <c r="P74" s="13">
        <v>9.8000000000000007</v>
      </c>
      <c r="Q74" s="13">
        <v>4</v>
      </c>
      <c r="R74" s="13">
        <v>2.65</v>
      </c>
      <c r="S74" s="13">
        <v>1</v>
      </c>
      <c r="T74" s="13" t="b">
        <v>0</v>
      </c>
      <c r="U74" s="14" t="s">
        <v>72</v>
      </c>
    </row>
    <row r="75" spans="1:21" ht="13.95" customHeight="1" x14ac:dyDescent="0.3">
      <c r="A75" s="15" t="s">
        <v>86</v>
      </c>
      <c r="B75" s="15">
        <v>106</v>
      </c>
      <c r="C75" s="15">
        <v>510</v>
      </c>
      <c r="D75" s="15" t="s">
        <v>70</v>
      </c>
      <c r="E75" s="15" t="s">
        <v>70</v>
      </c>
      <c r="F75" s="15">
        <v>0</v>
      </c>
      <c r="G75" s="15">
        <v>210.6</v>
      </c>
      <c r="H75" s="15">
        <v>96</v>
      </c>
      <c r="I75" s="15">
        <v>35.799999999999997</v>
      </c>
      <c r="J75" s="15">
        <v>249.2</v>
      </c>
      <c r="K75" s="15">
        <v>85</v>
      </c>
      <c r="L75" s="15">
        <v>21.18</v>
      </c>
      <c r="M75" s="15">
        <v>191.4</v>
      </c>
      <c r="N75" s="15">
        <v>88</v>
      </c>
      <c r="O75" s="15">
        <v>8.61</v>
      </c>
      <c r="P75" s="15">
        <v>12.4</v>
      </c>
      <c r="Q75" s="15">
        <v>1</v>
      </c>
      <c r="R75" s="15">
        <v>3.35</v>
      </c>
      <c r="S75" s="15">
        <v>2</v>
      </c>
      <c r="T75" s="15" t="b">
        <v>1</v>
      </c>
      <c r="U75" s="16" t="s">
        <v>89</v>
      </c>
    </row>
    <row r="76" spans="1:21" ht="13.95" customHeight="1" x14ac:dyDescent="0.3">
      <c r="A76" s="13" t="s">
        <v>103</v>
      </c>
      <c r="B76" s="13">
        <v>94</v>
      </c>
      <c r="C76" s="13">
        <v>408</v>
      </c>
      <c r="D76" s="13" t="s">
        <v>70</v>
      </c>
      <c r="E76" s="13" t="s">
        <v>70</v>
      </c>
      <c r="F76" s="13">
        <v>0</v>
      </c>
      <c r="G76" s="13">
        <v>157.9</v>
      </c>
      <c r="H76" s="13">
        <v>105</v>
      </c>
      <c r="I76" s="13">
        <v>26.84</v>
      </c>
      <c r="J76" s="13">
        <v>155</v>
      </c>
      <c r="K76" s="13">
        <v>101</v>
      </c>
      <c r="L76" s="13">
        <v>13.18</v>
      </c>
      <c r="M76" s="13">
        <v>189.6</v>
      </c>
      <c r="N76" s="13">
        <v>84</v>
      </c>
      <c r="O76" s="13">
        <v>8.5299999999999994</v>
      </c>
      <c r="P76" s="13">
        <v>8</v>
      </c>
      <c r="Q76" s="13">
        <v>5</v>
      </c>
      <c r="R76" s="13">
        <v>2.16</v>
      </c>
      <c r="S76" s="13">
        <v>4</v>
      </c>
      <c r="T76" s="13" t="b">
        <v>1</v>
      </c>
      <c r="U76" s="16" t="s">
        <v>89</v>
      </c>
    </row>
    <row r="77" spans="1:21" ht="13.95" customHeight="1" x14ac:dyDescent="0.3">
      <c r="A77" s="15" t="s">
        <v>79</v>
      </c>
      <c r="B77" s="15">
        <v>111</v>
      </c>
      <c r="C77" s="15">
        <v>510</v>
      </c>
      <c r="D77" s="15" t="s">
        <v>70</v>
      </c>
      <c r="E77" s="15" t="s">
        <v>70</v>
      </c>
      <c r="F77" s="15">
        <v>0</v>
      </c>
      <c r="G77" s="15">
        <v>214.3</v>
      </c>
      <c r="H77" s="15">
        <v>118</v>
      </c>
      <c r="I77" s="15">
        <v>36.43</v>
      </c>
      <c r="J77" s="15">
        <v>208.5</v>
      </c>
      <c r="K77" s="15">
        <v>76</v>
      </c>
      <c r="L77" s="15">
        <v>17.72</v>
      </c>
      <c r="M77" s="15">
        <v>182.4</v>
      </c>
      <c r="N77" s="15">
        <v>98</v>
      </c>
      <c r="O77" s="15">
        <v>8.2100000000000009</v>
      </c>
      <c r="P77" s="15">
        <v>12</v>
      </c>
      <c r="Q77" s="15">
        <v>2</v>
      </c>
      <c r="R77" s="15">
        <v>3.24</v>
      </c>
      <c r="S77" s="15">
        <v>1</v>
      </c>
      <c r="T77" s="15" t="b">
        <v>0</v>
      </c>
      <c r="U77" s="14" t="s">
        <v>72</v>
      </c>
    </row>
    <row r="78" spans="1:21" ht="13.95" customHeight="1" x14ac:dyDescent="0.3">
      <c r="A78" s="13" t="s">
        <v>114</v>
      </c>
      <c r="B78" s="13">
        <v>74</v>
      </c>
      <c r="C78" s="13">
        <v>415</v>
      </c>
      <c r="D78" s="13" t="s">
        <v>70</v>
      </c>
      <c r="E78" s="13" t="s">
        <v>71</v>
      </c>
      <c r="F78" s="13">
        <v>35</v>
      </c>
      <c r="G78" s="13">
        <v>154.1</v>
      </c>
      <c r="H78" s="13">
        <v>104</v>
      </c>
      <c r="I78" s="13">
        <v>26.2</v>
      </c>
      <c r="J78" s="13">
        <v>123.4</v>
      </c>
      <c r="K78" s="13">
        <v>84</v>
      </c>
      <c r="L78" s="13">
        <v>10.49</v>
      </c>
      <c r="M78" s="13">
        <v>202.1</v>
      </c>
      <c r="N78" s="13">
        <v>57</v>
      </c>
      <c r="O78" s="13">
        <v>9.09</v>
      </c>
      <c r="P78" s="13">
        <v>10.9</v>
      </c>
      <c r="Q78" s="13">
        <v>9</v>
      </c>
      <c r="R78" s="13">
        <v>2.94</v>
      </c>
      <c r="S78" s="13">
        <v>2</v>
      </c>
      <c r="T78" s="13" t="b">
        <v>0</v>
      </c>
      <c r="U78" s="14" t="s">
        <v>72</v>
      </c>
    </row>
    <row r="79" spans="1:21" ht="13.95" customHeight="1" x14ac:dyDescent="0.3">
      <c r="A79" s="15" t="s">
        <v>74</v>
      </c>
      <c r="B79" s="15">
        <v>128</v>
      </c>
      <c r="C79" s="15">
        <v>415</v>
      </c>
      <c r="D79" s="15" t="s">
        <v>70</v>
      </c>
      <c r="E79" s="15" t="s">
        <v>70</v>
      </c>
      <c r="F79" s="15">
        <v>0</v>
      </c>
      <c r="G79" s="15">
        <v>237.9</v>
      </c>
      <c r="H79" s="15">
        <v>125</v>
      </c>
      <c r="I79" s="15">
        <v>40.44</v>
      </c>
      <c r="J79" s="15">
        <v>247.6</v>
      </c>
      <c r="K79" s="15">
        <v>93</v>
      </c>
      <c r="L79" s="15">
        <v>21.05</v>
      </c>
      <c r="M79" s="15">
        <v>208.9</v>
      </c>
      <c r="N79" s="15">
        <v>68</v>
      </c>
      <c r="O79" s="15">
        <v>9.4</v>
      </c>
      <c r="P79" s="15">
        <v>13.9</v>
      </c>
      <c r="Q79" s="15">
        <v>4</v>
      </c>
      <c r="R79" s="15">
        <v>3.75</v>
      </c>
      <c r="S79" s="15">
        <v>1</v>
      </c>
      <c r="T79" s="15" t="b">
        <v>1</v>
      </c>
      <c r="U79" s="16" t="s">
        <v>89</v>
      </c>
    </row>
    <row r="80" spans="1:21" ht="13.95" customHeight="1" x14ac:dyDescent="0.3">
      <c r="A80" s="13" t="s">
        <v>112</v>
      </c>
      <c r="B80" s="13">
        <v>82</v>
      </c>
      <c r="C80" s="13">
        <v>510</v>
      </c>
      <c r="D80" s="13" t="s">
        <v>70</v>
      </c>
      <c r="E80" s="13" t="s">
        <v>70</v>
      </c>
      <c r="F80" s="13">
        <v>0</v>
      </c>
      <c r="G80" s="13">
        <v>143.9</v>
      </c>
      <c r="H80" s="13">
        <v>61</v>
      </c>
      <c r="I80" s="13">
        <v>24.46</v>
      </c>
      <c r="J80" s="13">
        <v>194.9</v>
      </c>
      <c r="K80" s="13">
        <v>105</v>
      </c>
      <c r="L80" s="13">
        <v>16.57</v>
      </c>
      <c r="M80" s="13">
        <v>109.6</v>
      </c>
      <c r="N80" s="13">
        <v>94</v>
      </c>
      <c r="O80" s="13">
        <v>4.93</v>
      </c>
      <c r="P80" s="13">
        <v>11.1</v>
      </c>
      <c r="Q80" s="13">
        <v>2</v>
      </c>
      <c r="R80" s="13">
        <v>3</v>
      </c>
      <c r="S80" s="13">
        <v>1</v>
      </c>
      <c r="T80" s="13" t="b">
        <v>0</v>
      </c>
      <c r="U80" s="14" t="s">
        <v>72</v>
      </c>
    </row>
    <row r="81" spans="1:21" ht="13.95" customHeight="1" x14ac:dyDescent="0.3">
      <c r="A81" s="15" t="s">
        <v>99</v>
      </c>
      <c r="B81" s="15">
        <v>80</v>
      </c>
      <c r="C81" s="15">
        <v>415</v>
      </c>
      <c r="D81" s="15" t="s">
        <v>70</v>
      </c>
      <c r="E81" s="15" t="s">
        <v>70</v>
      </c>
      <c r="F81" s="15">
        <v>0</v>
      </c>
      <c r="G81" s="15">
        <v>124.3</v>
      </c>
      <c r="H81" s="15">
        <v>100</v>
      </c>
      <c r="I81" s="15">
        <v>21.13</v>
      </c>
      <c r="J81" s="15">
        <v>173</v>
      </c>
      <c r="K81" s="15">
        <v>107</v>
      </c>
      <c r="L81" s="15">
        <v>14.71</v>
      </c>
      <c r="M81" s="15">
        <v>253.2</v>
      </c>
      <c r="N81" s="15">
        <v>62</v>
      </c>
      <c r="O81" s="15">
        <v>11.39</v>
      </c>
      <c r="P81" s="15">
        <v>7.9</v>
      </c>
      <c r="Q81" s="15">
        <v>9</v>
      </c>
      <c r="R81" s="15">
        <v>2.13</v>
      </c>
      <c r="S81" s="15">
        <v>1</v>
      </c>
      <c r="T81" s="15" t="b">
        <v>0</v>
      </c>
      <c r="U81" s="14" t="s">
        <v>72</v>
      </c>
    </row>
    <row r="82" spans="1:21" ht="13.95" customHeight="1" x14ac:dyDescent="0.3">
      <c r="A82" s="13" t="s">
        <v>115</v>
      </c>
      <c r="B82" s="13">
        <v>78</v>
      </c>
      <c r="C82" s="13">
        <v>415</v>
      </c>
      <c r="D82" s="13" t="s">
        <v>70</v>
      </c>
      <c r="E82" s="13" t="s">
        <v>70</v>
      </c>
      <c r="F82" s="13">
        <v>0</v>
      </c>
      <c r="G82" s="13">
        <v>252.9</v>
      </c>
      <c r="H82" s="13">
        <v>93</v>
      </c>
      <c r="I82" s="13">
        <v>42.99</v>
      </c>
      <c r="J82" s="13">
        <v>178.4</v>
      </c>
      <c r="K82" s="13">
        <v>112</v>
      </c>
      <c r="L82" s="13">
        <v>15.16</v>
      </c>
      <c r="M82" s="13">
        <v>263.89999999999998</v>
      </c>
      <c r="N82" s="13">
        <v>105</v>
      </c>
      <c r="O82" s="13">
        <v>11.88</v>
      </c>
      <c r="P82" s="13">
        <v>9.5</v>
      </c>
      <c r="Q82" s="13">
        <v>7</v>
      </c>
      <c r="R82" s="13">
        <v>2.57</v>
      </c>
      <c r="S82" s="13">
        <v>3</v>
      </c>
      <c r="T82" s="13" t="b">
        <v>0</v>
      </c>
      <c r="U82" s="14" t="s">
        <v>72</v>
      </c>
    </row>
    <row r="83" spans="1:21" ht="13.95" customHeight="1" x14ac:dyDescent="0.3">
      <c r="A83" s="15" t="s">
        <v>90</v>
      </c>
      <c r="B83" s="15">
        <v>90</v>
      </c>
      <c r="C83" s="15">
        <v>415</v>
      </c>
      <c r="D83" s="15" t="s">
        <v>70</v>
      </c>
      <c r="E83" s="15" t="s">
        <v>70</v>
      </c>
      <c r="F83" s="15">
        <v>0</v>
      </c>
      <c r="G83" s="15">
        <v>179.1</v>
      </c>
      <c r="H83" s="15">
        <v>71</v>
      </c>
      <c r="I83" s="15">
        <v>30.45</v>
      </c>
      <c r="J83" s="15">
        <v>190.6</v>
      </c>
      <c r="K83" s="15">
        <v>81</v>
      </c>
      <c r="L83" s="15">
        <v>16.2</v>
      </c>
      <c r="M83" s="15">
        <v>127.7</v>
      </c>
      <c r="N83" s="15">
        <v>91</v>
      </c>
      <c r="O83" s="15">
        <v>5.75</v>
      </c>
      <c r="P83" s="15">
        <v>10.6</v>
      </c>
      <c r="Q83" s="15">
        <v>7</v>
      </c>
      <c r="R83" s="15">
        <v>2.86</v>
      </c>
      <c r="S83" s="15">
        <v>3</v>
      </c>
      <c r="T83" s="15" t="b">
        <v>0</v>
      </c>
      <c r="U83" s="14" t="s">
        <v>72</v>
      </c>
    </row>
    <row r="84" spans="1:21" ht="13.95" customHeight="1" x14ac:dyDescent="0.3">
      <c r="A84" s="13" t="s">
        <v>97</v>
      </c>
      <c r="B84" s="13">
        <v>104</v>
      </c>
      <c r="C84" s="13">
        <v>408</v>
      </c>
      <c r="D84" s="13" t="s">
        <v>70</v>
      </c>
      <c r="E84" s="13" t="s">
        <v>70</v>
      </c>
      <c r="F84" s="13">
        <v>0</v>
      </c>
      <c r="G84" s="13">
        <v>278.39999999999998</v>
      </c>
      <c r="H84" s="13">
        <v>106</v>
      </c>
      <c r="I84" s="13">
        <v>47.33</v>
      </c>
      <c r="J84" s="13">
        <v>81</v>
      </c>
      <c r="K84" s="13">
        <v>113</v>
      </c>
      <c r="L84" s="13">
        <v>6.89</v>
      </c>
      <c r="M84" s="13">
        <v>163.19999999999999</v>
      </c>
      <c r="N84" s="13">
        <v>137</v>
      </c>
      <c r="O84" s="13">
        <v>7.34</v>
      </c>
      <c r="P84" s="13">
        <v>9.8000000000000007</v>
      </c>
      <c r="Q84" s="13">
        <v>5</v>
      </c>
      <c r="R84" s="13">
        <v>2.65</v>
      </c>
      <c r="S84" s="13">
        <v>1</v>
      </c>
      <c r="T84" s="13" t="b">
        <v>0</v>
      </c>
      <c r="U84" s="14" t="s">
        <v>72</v>
      </c>
    </row>
    <row r="85" spans="1:21" ht="13.95" customHeight="1" x14ac:dyDescent="0.3">
      <c r="A85" s="15" t="s">
        <v>90</v>
      </c>
      <c r="B85" s="15">
        <v>99</v>
      </c>
      <c r="C85" s="15">
        <v>415</v>
      </c>
      <c r="D85" s="15" t="s">
        <v>70</v>
      </c>
      <c r="E85" s="15" t="s">
        <v>70</v>
      </c>
      <c r="F85" s="15">
        <v>0</v>
      </c>
      <c r="G85" s="15">
        <v>198.2</v>
      </c>
      <c r="H85" s="15">
        <v>87</v>
      </c>
      <c r="I85" s="15">
        <v>33.69</v>
      </c>
      <c r="J85" s="15">
        <v>207.3</v>
      </c>
      <c r="K85" s="15">
        <v>76</v>
      </c>
      <c r="L85" s="15">
        <v>17.62</v>
      </c>
      <c r="M85" s="15">
        <v>190.9</v>
      </c>
      <c r="N85" s="15">
        <v>113</v>
      </c>
      <c r="O85" s="15">
        <v>8.59</v>
      </c>
      <c r="P85" s="15">
        <v>8.6999999999999993</v>
      </c>
      <c r="Q85" s="15">
        <v>3</v>
      </c>
      <c r="R85" s="15">
        <v>2.35</v>
      </c>
      <c r="S85" s="15">
        <v>4</v>
      </c>
      <c r="T85" s="15" t="b">
        <v>0</v>
      </c>
      <c r="U85" s="14" t="s">
        <v>72</v>
      </c>
    </row>
    <row r="86" spans="1:21" ht="13.95" customHeight="1" x14ac:dyDescent="0.3">
      <c r="A86" s="13" t="s">
        <v>116</v>
      </c>
      <c r="B86" s="13">
        <v>120</v>
      </c>
      <c r="C86" s="13">
        <v>408</v>
      </c>
      <c r="D86" s="13" t="s">
        <v>70</v>
      </c>
      <c r="E86" s="13" t="s">
        <v>70</v>
      </c>
      <c r="F86" s="13">
        <v>0</v>
      </c>
      <c r="G86" s="13">
        <v>212.1</v>
      </c>
      <c r="H86" s="13">
        <v>131</v>
      </c>
      <c r="I86" s="13">
        <v>36.06</v>
      </c>
      <c r="J86" s="13">
        <v>209.4</v>
      </c>
      <c r="K86" s="13">
        <v>104</v>
      </c>
      <c r="L86" s="13">
        <v>17.8</v>
      </c>
      <c r="M86" s="13">
        <v>167.2</v>
      </c>
      <c r="N86" s="13">
        <v>96</v>
      </c>
      <c r="O86" s="13">
        <v>7.52</v>
      </c>
      <c r="P86" s="13">
        <v>5.3</v>
      </c>
      <c r="Q86" s="13">
        <v>5</v>
      </c>
      <c r="R86" s="13">
        <v>1.43</v>
      </c>
      <c r="S86" s="13">
        <v>1</v>
      </c>
      <c r="T86" s="13" t="b">
        <v>1</v>
      </c>
      <c r="U86" s="16" t="s">
        <v>89</v>
      </c>
    </row>
    <row r="87" spans="1:21" ht="13.95" customHeight="1" x14ac:dyDescent="0.3">
      <c r="A87" s="15" t="s">
        <v>81</v>
      </c>
      <c r="B87" s="15">
        <v>98</v>
      </c>
      <c r="C87" s="15">
        <v>510</v>
      </c>
      <c r="D87" s="15" t="s">
        <v>70</v>
      </c>
      <c r="E87" s="15" t="s">
        <v>71</v>
      </c>
      <c r="F87" s="15">
        <v>21</v>
      </c>
      <c r="G87" s="15">
        <v>161.19999999999999</v>
      </c>
      <c r="H87" s="15">
        <v>114</v>
      </c>
      <c r="I87" s="15">
        <v>27.4</v>
      </c>
      <c r="J87" s="15">
        <v>252.2</v>
      </c>
      <c r="K87" s="15">
        <v>83</v>
      </c>
      <c r="L87" s="15">
        <v>21.44</v>
      </c>
      <c r="M87" s="15">
        <v>160.19999999999999</v>
      </c>
      <c r="N87" s="15">
        <v>92</v>
      </c>
      <c r="O87" s="15">
        <v>7.21</v>
      </c>
      <c r="P87" s="15">
        <v>4.4000000000000004</v>
      </c>
      <c r="Q87" s="15">
        <v>8</v>
      </c>
      <c r="R87" s="15">
        <v>1.19</v>
      </c>
      <c r="S87" s="15">
        <v>4</v>
      </c>
      <c r="T87" s="15" t="b">
        <v>0</v>
      </c>
      <c r="U87" s="14" t="s">
        <v>72</v>
      </c>
    </row>
    <row r="88" spans="1:21" ht="13.95" customHeight="1" x14ac:dyDescent="0.3">
      <c r="A88" s="13" t="s">
        <v>84</v>
      </c>
      <c r="B88" s="13">
        <v>135</v>
      </c>
      <c r="C88" s="13">
        <v>415</v>
      </c>
      <c r="D88" s="13" t="s">
        <v>70</v>
      </c>
      <c r="E88" s="13" t="s">
        <v>70</v>
      </c>
      <c r="F88" s="13">
        <v>0</v>
      </c>
      <c r="G88" s="13">
        <v>151.69999999999999</v>
      </c>
      <c r="H88" s="13">
        <v>82</v>
      </c>
      <c r="I88" s="13">
        <v>25.79</v>
      </c>
      <c r="J88" s="13">
        <v>119</v>
      </c>
      <c r="K88" s="13">
        <v>105</v>
      </c>
      <c r="L88" s="13">
        <v>10.119999999999999</v>
      </c>
      <c r="M88" s="13">
        <v>180</v>
      </c>
      <c r="N88" s="13">
        <v>100</v>
      </c>
      <c r="O88" s="13">
        <v>8.1</v>
      </c>
      <c r="P88" s="13">
        <v>10.5</v>
      </c>
      <c r="Q88" s="13">
        <v>6</v>
      </c>
      <c r="R88" s="13">
        <v>2.84</v>
      </c>
      <c r="S88" s="13">
        <v>0</v>
      </c>
      <c r="T88" s="13" t="b">
        <v>0</v>
      </c>
      <c r="U88" s="14" t="s">
        <v>72</v>
      </c>
    </row>
    <row r="89" spans="1:21" ht="13.95" customHeight="1" x14ac:dyDescent="0.3">
      <c r="A89" s="15" t="s">
        <v>103</v>
      </c>
      <c r="B89" s="15">
        <v>122</v>
      </c>
      <c r="C89" s="15">
        <v>408</v>
      </c>
      <c r="D89" s="15" t="s">
        <v>70</v>
      </c>
      <c r="E89" s="15" t="s">
        <v>70</v>
      </c>
      <c r="F89" s="15">
        <v>0</v>
      </c>
      <c r="G89" s="15">
        <v>170.5</v>
      </c>
      <c r="H89" s="15">
        <v>94</v>
      </c>
      <c r="I89" s="15">
        <v>28.99</v>
      </c>
      <c r="J89" s="15">
        <v>173.7</v>
      </c>
      <c r="K89" s="15">
        <v>109</v>
      </c>
      <c r="L89" s="15">
        <v>14.76</v>
      </c>
      <c r="M89" s="15">
        <v>248.6</v>
      </c>
      <c r="N89" s="15">
        <v>75</v>
      </c>
      <c r="O89" s="15">
        <v>11.19</v>
      </c>
      <c r="P89" s="15">
        <v>11.3</v>
      </c>
      <c r="Q89" s="15">
        <v>2</v>
      </c>
      <c r="R89" s="15">
        <v>3.05</v>
      </c>
      <c r="S89" s="15">
        <v>1</v>
      </c>
      <c r="T89" s="15" t="b">
        <v>0</v>
      </c>
      <c r="U89" s="14" t="s">
        <v>72</v>
      </c>
    </row>
    <row r="90" spans="1:21" ht="13.95" customHeight="1" x14ac:dyDescent="0.3">
      <c r="A90" s="13" t="s">
        <v>90</v>
      </c>
      <c r="B90" s="13">
        <v>95</v>
      </c>
      <c r="C90" s="13">
        <v>408</v>
      </c>
      <c r="D90" s="13" t="s">
        <v>70</v>
      </c>
      <c r="E90" s="13" t="s">
        <v>70</v>
      </c>
      <c r="F90" s="13">
        <v>0</v>
      </c>
      <c r="G90" s="13">
        <v>238.1</v>
      </c>
      <c r="H90" s="13">
        <v>65</v>
      </c>
      <c r="I90" s="13">
        <v>40.479999999999997</v>
      </c>
      <c r="J90" s="13">
        <v>187.2</v>
      </c>
      <c r="K90" s="13">
        <v>98</v>
      </c>
      <c r="L90" s="13">
        <v>15.91</v>
      </c>
      <c r="M90" s="13">
        <v>190</v>
      </c>
      <c r="N90" s="13">
        <v>115</v>
      </c>
      <c r="O90" s="13">
        <v>8.5500000000000007</v>
      </c>
      <c r="P90" s="13">
        <v>11.8</v>
      </c>
      <c r="Q90" s="13">
        <v>4</v>
      </c>
      <c r="R90" s="13">
        <v>3.19</v>
      </c>
      <c r="S90" s="13">
        <v>4</v>
      </c>
      <c r="T90" s="13" t="b">
        <v>0</v>
      </c>
      <c r="U90" s="14" t="s">
        <v>72</v>
      </c>
    </row>
    <row r="91" spans="1:21" ht="13.95" customHeight="1" x14ac:dyDescent="0.3">
      <c r="A91" s="15" t="s">
        <v>110</v>
      </c>
      <c r="B91" s="15">
        <v>93</v>
      </c>
      <c r="C91" s="15">
        <v>510</v>
      </c>
      <c r="D91" s="15" t="s">
        <v>70</v>
      </c>
      <c r="E91" s="15" t="s">
        <v>71</v>
      </c>
      <c r="F91" s="15">
        <v>21</v>
      </c>
      <c r="G91" s="15">
        <v>117.9</v>
      </c>
      <c r="H91" s="15">
        <v>131</v>
      </c>
      <c r="I91" s="15">
        <v>20.04</v>
      </c>
      <c r="J91" s="15">
        <v>164.5</v>
      </c>
      <c r="K91" s="15">
        <v>115</v>
      </c>
      <c r="L91" s="15">
        <v>13.98</v>
      </c>
      <c r="M91" s="15">
        <v>217</v>
      </c>
      <c r="N91" s="15">
        <v>86</v>
      </c>
      <c r="O91" s="15">
        <v>9.76</v>
      </c>
      <c r="P91" s="15">
        <v>9.8000000000000007</v>
      </c>
      <c r="Q91" s="15">
        <v>3</v>
      </c>
      <c r="R91" s="15">
        <v>2.65</v>
      </c>
      <c r="S91" s="15">
        <v>1</v>
      </c>
      <c r="T91" s="15" t="b">
        <v>0</v>
      </c>
      <c r="U91" s="14" t="s">
        <v>72</v>
      </c>
    </row>
    <row r="92" spans="1:21" ht="13.95" customHeight="1" x14ac:dyDescent="0.3">
      <c r="A92" s="13" t="s">
        <v>104</v>
      </c>
      <c r="B92" s="13">
        <v>157</v>
      </c>
      <c r="C92" s="13">
        <v>408</v>
      </c>
      <c r="D92" s="13" t="s">
        <v>70</v>
      </c>
      <c r="E92" s="13" t="s">
        <v>70</v>
      </c>
      <c r="F92" s="13">
        <v>0</v>
      </c>
      <c r="G92" s="13">
        <v>229.8</v>
      </c>
      <c r="H92" s="13">
        <v>90</v>
      </c>
      <c r="I92" s="13">
        <v>39.07</v>
      </c>
      <c r="J92" s="13">
        <v>147.9</v>
      </c>
      <c r="K92" s="13">
        <v>121</v>
      </c>
      <c r="L92" s="13">
        <v>12.57</v>
      </c>
      <c r="M92" s="13">
        <v>241.4</v>
      </c>
      <c r="N92" s="13">
        <v>108</v>
      </c>
      <c r="O92" s="13">
        <v>10.86</v>
      </c>
      <c r="P92" s="13">
        <v>9.6</v>
      </c>
      <c r="Q92" s="13">
        <v>7</v>
      </c>
      <c r="R92" s="13">
        <v>2.59</v>
      </c>
      <c r="S92" s="13">
        <v>3</v>
      </c>
      <c r="T92" s="13" t="b">
        <v>0</v>
      </c>
      <c r="U92" s="14" t="s">
        <v>72</v>
      </c>
    </row>
    <row r="93" spans="1:21" ht="13.95" customHeight="1" x14ac:dyDescent="0.3">
      <c r="A93" s="15" t="s">
        <v>117</v>
      </c>
      <c r="B93" s="15">
        <v>120</v>
      </c>
      <c r="C93" s="15">
        <v>408</v>
      </c>
      <c r="D93" s="15" t="s">
        <v>70</v>
      </c>
      <c r="E93" s="15" t="s">
        <v>70</v>
      </c>
      <c r="F93" s="15">
        <v>0</v>
      </c>
      <c r="G93" s="15">
        <v>165</v>
      </c>
      <c r="H93" s="15">
        <v>100</v>
      </c>
      <c r="I93" s="15">
        <v>28.05</v>
      </c>
      <c r="J93" s="15">
        <v>317.2</v>
      </c>
      <c r="K93" s="15">
        <v>83</v>
      </c>
      <c r="L93" s="15">
        <v>26.96</v>
      </c>
      <c r="M93" s="15">
        <v>119.2</v>
      </c>
      <c r="N93" s="15">
        <v>86</v>
      </c>
      <c r="O93" s="15">
        <v>5.36</v>
      </c>
      <c r="P93" s="15">
        <v>8.3000000000000007</v>
      </c>
      <c r="Q93" s="15">
        <v>8</v>
      </c>
      <c r="R93" s="15">
        <v>2.2400000000000002</v>
      </c>
      <c r="S93" s="15">
        <v>1</v>
      </c>
      <c r="T93" s="15" t="b">
        <v>0</v>
      </c>
      <c r="U93" s="14" t="s">
        <v>72</v>
      </c>
    </row>
    <row r="94" spans="1:21" ht="13.95" customHeight="1" x14ac:dyDescent="0.3">
      <c r="A94" s="13" t="s">
        <v>77</v>
      </c>
      <c r="B94" s="13">
        <v>103</v>
      </c>
      <c r="C94" s="13">
        <v>415</v>
      </c>
      <c r="D94" s="13" t="s">
        <v>70</v>
      </c>
      <c r="E94" s="13" t="s">
        <v>70</v>
      </c>
      <c r="F94" s="13">
        <v>0</v>
      </c>
      <c r="G94" s="13">
        <v>185</v>
      </c>
      <c r="H94" s="13">
        <v>117</v>
      </c>
      <c r="I94" s="13">
        <v>31.45</v>
      </c>
      <c r="J94" s="13">
        <v>223.3</v>
      </c>
      <c r="K94" s="13">
        <v>94</v>
      </c>
      <c r="L94" s="13">
        <v>18.98</v>
      </c>
      <c r="M94" s="13">
        <v>222.8</v>
      </c>
      <c r="N94" s="13">
        <v>91</v>
      </c>
      <c r="O94" s="13">
        <v>10.029999999999999</v>
      </c>
      <c r="P94" s="13">
        <v>12.6</v>
      </c>
      <c r="Q94" s="13">
        <v>2</v>
      </c>
      <c r="R94" s="13">
        <v>3.4</v>
      </c>
      <c r="S94" s="13">
        <v>2</v>
      </c>
      <c r="T94" s="13" t="b">
        <v>0</v>
      </c>
      <c r="U94" s="14" t="s">
        <v>72</v>
      </c>
    </row>
    <row r="95" spans="1:21" ht="13.95" customHeight="1" x14ac:dyDescent="0.3">
      <c r="A95" s="15" t="s">
        <v>76</v>
      </c>
      <c r="B95" s="15">
        <v>98</v>
      </c>
      <c r="C95" s="15">
        <v>408</v>
      </c>
      <c r="D95" s="15" t="s">
        <v>70</v>
      </c>
      <c r="E95" s="15" t="s">
        <v>70</v>
      </c>
      <c r="F95" s="15">
        <v>0</v>
      </c>
      <c r="G95" s="15">
        <v>161</v>
      </c>
      <c r="H95" s="15">
        <v>117</v>
      </c>
      <c r="I95" s="15">
        <v>27.37</v>
      </c>
      <c r="J95" s="15">
        <v>190.9</v>
      </c>
      <c r="K95" s="15">
        <v>113</v>
      </c>
      <c r="L95" s="15">
        <v>16.23</v>
      </c>
      <c r="M95" s="15">
        <v>227.7</v>
      </c>
      <c r="N95" s="15">
        <v>113</v>
      </c>
      <c r="O95" s="15">
        <v>10.25</v>
      </c>
      <c r="P95" s="15">
        <v>12.1</v>
      </c>
      <c r="Q95" s="15">
        <v>4</v>
      </c>
      <c r="R95" s="15">
        <v>3.27</v>
      </c>
      <c r="S95" s="15">
        <v>4</v>
      </c>
      <c r="T95" s="15" t="b">
        <v>0</v>
      </c>
      <c r="U95" s="14" t="s">
        <v>72</v>
      </c>
    </row>
    <row r="96" spans="1:21" ht="13.95" customHeight="1" x14ac:dyDescent="0.3">
      <c r="A96" s="13" t="s">
        <v>102</v>
      </c>
      <c r="B96" s="13">
        <v>125</v>
      </c>
      <c r="C96" s="13">
        <v>408</v>
      </c>
      <c r="D96" s="13" t="s">
        <v>70</v>
      </c>
      <c r="E96" s="13" t="s">
        <v>70</v>
      </c>
      <c r="F96" s="13">
        <v>0</v>
      </c>
      <c r="G96" s="13">
        <v>126.7</v>
      </c>
      <c r="H96" s="13">
        <v>108</v>
      </c>
      <c r="I96" s="13">
        <v>21.54</v>
      </c>
      <c r="J96" s="13">
        <v>206</v>
      </c>
      <c r="K96" s="13">
        <v>90</v>
      </c>
      <c r="L96" s="13">
        <v>17.510000000000002</v>
      </c>
      <c r="M96" s="13">
        <v>247.8</v>
      </c>
      <c r="N96" s="13">
        <v>114</v>
      </c>
      <c r="O96" s="13">
        <v>11.15</v>
      </c>
      <c r="P96" s="13">
        <v>13.3</v>
      </c>
      <c r="Q96" s="13">
        <v>7</v>
      </c>
      <c r="R96" s="13">
        <v>3.59</v>
      </c>
      <c r="S96" s="13">
        <v>1</v>
      </c>
      <c r="T96" s="13" t="b">
        <v>0</v>
      </c>
      <c r="U96" s="14" t="s">
        <v>72</v>
      </c>
    </row>
    <row r="97" spans="1:21" ht="13.95" customHeight="1" x14ac:dyDescent="0.3">
      <c r="A97" s="15" t="s">
        <v>115</v>
      </c>
      <c r="B97" s="15">
        <v>36</v>
      </c>
      <c r="C97" s="15">
        <v>510</v>
      </c>
      <c r="D97" s="15" t="s">
        <v>71</v>
      </c>
      <c r="E97" s="15" t="s">
        <v>71</v>
      </c>
      <c r="F97" s="15">
        <v>42</v>
      </c>
      <c r="G97" s="15">
        <v>196.8</v>
      </c>
      <c r="H97" s="15">
        <v>89</v>
      </c>
      <c r="I97" s="15">
        <v>33.46</v>
      </c>
      <c r="J97" s="15">
        <v>254.9</v>
      </c>
      <c r="K97" s="15">
        <v>122</v>
      </c>
      <c r="L97" s="15">
        <v>21.67</v>
      </c>
      <c r="M97" s="15">
        <v>138.30000000000001</v>
      </c>
      <c r="N97" s="15">
        <v>126</v>
      </c>
      <c r="O97" s="15">
        <v>6.22</v>
      </c>
      <c r="P97" s="15">
        <v>20</v>
      </c>
      <c r="Q97" s="15">
        <v>6</v>
      </c>
      <c r="R97" s="15">
        <v>5.4</v>
      </c>
      <c r="S97" s="15">
        <v>0</v>
      </c>
      <c r="T97" s="15" t="b">
        <v>1</v>
      </c>
      <c r="U97" s="16" t="s">
        <v>89</v>
      </c>
    </row>
    <row r="98" spans="1:21" ht="13.95" customHeight="1" x14ac:dyDescent="0.3">
      <c r="A98" s="13" t="s">
        <v>74</v>
      </c>
      <c r="B98" s="13">
        <v>64</v>
      </c>
      <c r="C98" s="13">
        <v>510</v>
      </c>
      <c r="D98" s="13" t="s">
        <v>70</v>
      </c>
      <c r="E98" s="13" t="s">
        <v>70</v>
      </c>
      <c r="F98" s="13">
        <v>0</v>
      </c>
      <c r="G98" s="13">
        <v>162.6</v>
      </c>
      <c r="H98" s="13">
        <v>83</v>
      </c>
      <c r="I98" s="13">
        <v>27.64</v>
      </c>
      <c r="J98" s="13">
        <v>152.30000000000001</v>
      </c>
      <c r="K98" s="13">
        <v>109</v>
      </c>
      <c r="L98" s="13">
        <v>12.95</v>
      </c>
      <c r="M98" s="13">
        <v>57.5</v>
      </c>
      <c r="N98" s="13">
        <v>122</v>
      </c>
      <c r="O98" s="13">
        <v>2.59</v>
      </c>
      <c r="P98" s="13">
        <v>14.2</v>
      </c>
      <c r="Q98" s="13">
        <v>3</v>
      </c>
      <c r="R98" s="13">
        <v>3.83</v>
      </c>
      <c r="S98" s="13">
        <v>1</v>
      </c>
      <c r="T98" s="13" t="b">
        <v>0</v>
      </c>
      <c r="U98" s="14" t="s">
        <v>72</v>
      </c>
    </row>
    <row r="99" spans="1:21" ht="13.95" customHeight="1" x14ac:dyDescent="0.3">
      <c r="A99" s="15" t="s">
        <v>111</v>
      </c>
      <c r="B99" s="15">
        <v>74</v>
      </c>
      <c r="C99" s="15">
        <v>415</v>
      </c>
      <c r="D99" s="15" t="s">
        <v>70</v>
      </c>
      <c r="E99" s="15" t="s">
        <v>70</v>
      </c>
      <c r="F99" s="15">
        <v>0</v>
      </c>
      <c r="G99" s="15">
        <v>282.5</v>
      </c>
      <c r="H99" s="15">
        <v>114</v>
      </c>
      <c r="I99" s="15">
        <v>48.03</v>
      </c>
      <c r="J99" s="15">
        <v>219.9</v>
      </c>
      <c r="K99" s="15">
        <v>48</v>
      </c>
      <c r="L99" s="15">
        <v>18.690000000000001</v>
      </c>
      <c r="M99" s="15">
        <v>170</v>
      </c>
      <c r="N99" s="15">
        <v>115</v>
      </c>
      <c r="O99" s="15">
        <v>7.65</v>
      </c>
      <c r="P99" s="15">
        <v>9.4</v>
      </c>
      <c r="Q99" s="15">
        <v>4</v>
      </c>
      <c r="R99" s="15">
        <v>2.54</v>
      </c>
      <c r="S99" s="15">
        <v>1</v>
      </c>
      <c r="T99" s="15" t="b">
        <v>1</v>
      </c>
      <c r="U99" s="16" t="s">
        <v>89</v>
      </c>
    </row>
    <row r="100" spans="1:21" ht="13.95" customHeight="1" x14ac:dyDescent="0.3">
      <c r="A100" s="13" t="s">
        <v>78</v>
      </c>
      <c r="B100" s="13">
        <v>112</v>
      </c>
      <c r="C100" s="13">
        <v>510</v>
      </c>
      <c r="D100" s="13" t="s">
        <v>70</v>
      </c>
      <c r="E100" s="13" t="s">
        <v>71</v>
      </c>
      <c r="F100" s="13">
        <v>36</v>
      </c>
      <c r="G100" s="13">
        <v>113.7</v>
      </c>
      <c r="H100" s="13">
        <v>117</v>
      </c>
      <c r="I100" s="13">
        <v>19.329999999999998</v>
      </c>
      <c r="J100" s="13">
        <v>157.5</v>
      </c>
      <c r="K100" s="13">
        <v>82</v>
      </c>
      <c r="L100" s="13">
        <v>13.39</v>
      </c>
      <c r="M100" s="13">
        <v>177.6</v>
      </c>
      <c r="N100" s="13">
        <v>118</v>
      </c>
      <c r="O100" s="13">
        <v>7.99</v>
      </c>
      <c r="P100" s="13">
        <v>10</v>
      </c>
      <c r="Q100" s="13">
        <v>3</v>
      </c>
      <c r="R100" s="13">
        <v>2.7</v>
      </c>
      <c r="S100" s="13">
        <v>2</v>
      </c>
      <c r="T100" s="13" t="b">
        <v>0</v>
      </c>
      <c r="U100" s="14" t="s">
        <v>72</v>
      </c>
    </row>
    <row r="101" spans="1:21" ht="13.95" customHeight="1" x14ac:dyDescent="0.3">
      <c r="A101" s="15" t="s">
        <v>91</v>
      </c>
      <c r="B101" s="15">
        <v>46</v>
      </c>
      <c r="C101" s="15">
        <v>408</v>
      </c>
      <c r="D101" s="15" t="s">
        <v>70</v>
      </c>
      <c r="E101" s="15" t="s">
        <v>70</v>
      </c>
      <c r="F101" s="15">
        <v>0</v>
      </c>
      <c r="G101" s="15">
        <v>210.2</v>
      </c>
      <c r="H101" s="15">
        <v>92</v>
      </c>
      <c r="I101" s="15">
        <v>35.729999999999997</v>
      </c>
      <c r="J101" s="15">
        <v>227.3</v>
      </c>
      <c r="K101" s="15">
        <v>77</v>
      </c>
      <c r="L101" s="15">
        <v>19.32</v>
      </c>
      <c r="M101" s="15">
        <v>200.1</v>
      </c>
      <c r="N101" s="15">
        <v>116</v>
      </c>
      <c r="O101" s="15">
        <v>9</v>
      </c>
      <c r="P101" s="15">
        <v>13.1</v>
      </c>
      <c r="Q101" s="15">
        <v>7</v>
      </c>
      <c r="R101" s="15">
        <v>3.54</v>
      </c>
      <c r="S101" s="15">
        <v>1</v>
      </c>
      <c r="T101" s="15" t="b">
        <v>0</v>
      </c>
      <c r="U101" s="14" t="s">
        <v>72</v>
      </c>
    </row>
    <row r="102" spans="1:21" ht="13.95" customHeight="1" x14ac:dyDescent="0.3">
      <c r="A102" s="13" t="s">
        <v>86</v>
      </c>
      <c r="B102" s="13">
        <v>41</v>
      </c>
      <c r="C102" s="13">
        <v>408</v>
      </c>
      <c r="D102" s="13" t="s">
        <v>70</v>
      </c>
      <c r="E102" s="13" t="s">
        <v>71</v>
      </c>
      <c r="F102" s="13">
        <v>22</v>
      </c>
      <c r="G102" s="13">
        <v>213.8</v>
      </c>
      <c r="H102" s="13">
        <v>102</v>
      </c>
      <c r="I102" s="13">
        <v>36.35</v>
      </c>
      <c r="J102" s="13">
        <v>141.80000000000001</v>
      </c>
      <c r="K102" s="13">
        <v>86</v>
      </c>
      <c r="L102" s="13">
        <v>12.05</v>
      </c>
      <c r="M102" s="13">
        <v>142.19999999999999</v>
      </c>
      <c r="N102" s="13">
        <v>123</v>
      </c>
      <c r="O102" s="13">
        <v>6.4</v>
      </c>
      <c r="P102" s="13">
        <v>7.2</v>
      </c>
      <c r="Q102" s="13">
        <v>3</v>
      </c>
      <c r="R102" s="13">
        <v>1.94</v>
      </c>
      <c r="S102" s="13">
        <v>0</v>
      </c>
      <c r="T102" s="13" t="b">
        <v>0</v>
      </c>
      <c r="U102" s="14" t="s">
        <v>72</v>
      </c>
    </row>
    <row r="103" spans="1:21" ht="13.95" customHeight="1" x14ac:dyDescent="0.3">
      <c r="A103" s="15" t="s">
        <v>98</v>
      </c>
      <c r="B103" s="15">
        <v>121</v>
      </c>
      <c r="C103" s="15">
        <v>510</v>
      </c>
      <c r="D103" s="15" t="s">
        <v>70</v>
      </c>
      <c r="E103" s="15" t="s">
        <v>70</v>
      </c>
      <c r="F103" s="15">
        <v>0</v>
      </c>
      <c r="G103" s="15">
        <v>190.7</v>
      </c>
      <c r="H103" s="15">
        <v>103</v>
      </c>
      <c r="I103" s="15">
        <v>32.42</v>
      </c>
      <c r="J103" s="15">
        <v>183.5</v>
      </c>
      <c r="K103" s="15">
        <v>117</v>
      </c>
      <c r="L103" s="15">
        <v>15.6</v>
      </c>
      <c r="M103" s="15">
        <v>220.8</v>
      </c>
      <c r="N103" s="15">
        <v>103</v>
      </c>
      <c r="O103" s="15">
        <v>9.94</v>
      </c>
      <c r="P103" s="15">
        <v>9.8000000000000007</v>
      </c>
      <c r="Q103" s="15">
        <v>4</v>
      </c>
      <c r="R103" s="15">
        <v>2.65</v>
      </c>
      <c r="S103" s="15">
        <v>3</v>
      </c>
      <c r="T103" s="15" t="b">
        <v>0</v>
      </c>
      <c r="U103" s="14" t="s">
        <v>72</v>
      </c>
    </row>
    <row r="104" spans="1:21" ht="13.95" customHeight="1" x14ac:dyDescent="0.3">
      <c r="A104" s="13" t="s">
        <v>116</v>
      </c>
      <c r="B104" s="13">
        <v>193</v>
      </c>
      <c r="C104" s="13">
        <v>415</v>
      </c>
      <c r="D104" s="13" t="s">
        <v>70</v>
      </c>
      <c r="E104" s="13" t="s">
        <v>70</v>
      </c>
      <c r="F104" s="13">
        <v>0</v>
      </c>
      <c r="G104" s="13">
        <v>170.9</v>
      </c>
      <c r="H104" s="13">
        <v>124</v>
      </c>
      <c r="I104" s="13">
        <v>29.05</v>
      </c>
      <c r="J104" s="13">
        <v>132.30000000000001</v>
      </c>
      <c r="K104" s="13">
        <v>95</v>
      </c>
      <c r="L104" s="13">
        <v>11.25</v>
      </c>
      <c r="M104" s="13">
        <v>112.9</v>
      </c>
      <c r="N104" s="13">
        <v>89</v>
      </c>
      <c r="O104" s="13">
        <v>5.08</v>
      </c>
      <c r="P104" s="13">
        <v>11.6</v>
      </c>
      <c r="Q104" s="13">
        <v>3</v>
      </c>
      <c r="R104" s="13">
        <v>3.13</v>
      </c>
      <c r="S104" s="13">
        <v>1</v>
      </c>
      <c r="T104" s="13" t="b">
        <v>0</v>
      </c>
      <c r="U104" s="14" t="s">
        <v>72</v>
      </c>
    </row>
    <row r="105" spans="1:21" ht="13.95" customHeight="1" x14ac:dyDescent="0.3">
      <c r="A105" s="15" t="s">
        <v>111</v>
      </c>
      <c r="B105" s="15">
        <v>130</v>
      </c>
      <c r="C105" s="15">
        <v>510</v>
      </c>
      <c r="D105" s="15" t="s">
        <v>70</v>
      </c>
      <c r="E105" s="15" t="s">
        <v>70</v>
      </c>
      <c r="F105" s="15">
        <v>0</v>
      </c>
      <c r="G105" s="15">
        <v>154.19999999999999</v>
      </c>
      <c r="H105" s="15">
        <v>119</v>
      </c>
      <c r="I105" s="15">
        <v>26.21</v>
      </c>
      <c r="J105" s="15">
        <v>110.2</v>
      </c>
      <c r="K105" s="15">
        <v>98</v>
      </c>
      <c r="L105" s="15">
        <v>9.3699999999999992</v>
      </c>
      <c r="M105" s="15">
        <v>227.4</v>
      </c>
      <c r="N105" s="15">
        <v>117</v>
      </c>
      <c r="O105" s="15">
        <v>10.23</v>
      </c>
      <c r="P105" s="15">
        <v>9.1999999999999993</v>
      </c>
      <c r="Q105" s="15">
        <v>5</v>
      </c>
      <c r="R105" s="15">
        <v>2.48</v>
      </c>
      <c r="S105" s="15">
        <v>2</v>
      </c>
      <c r="T105" s="15" t="b">
        <v>0</v>
      </c>
      <c r="U105" s="14" t="s">
        <v>72</v>
      </c>
    </row>
    <row r="106" spans="1:21" ht="13.95" customHeight="1" x14ac:dyDescent="0.3">
      <c r="A106" s="13" t="s">
        <v>90</v>
      </c>
      <c r="B106" s="13">
        <v>85</v>
      </c>
      <c r="C106" s="13">
        <v>408</v>
      </c>
      <c r="D106" s="13" t="s">
        <v>70</v>
      </c>
      <c r="E106" s="13" t="s">
        <v>70</v>
      </c>
      <c r="F106" s="13">
        <v>0</v>
      </c>
      <c r="G106" s="13">
        <v>201.4</v>
      </c>
      <c r="H106" s="13">
        <v>52</v>
      </c>
      <c r="I106" s="13">
        <v>34.24</v>
      </c>
      <c r="J106" s="13">
        <v>229.4</v>
      </c>
      <c r="K106" s="13">
        <v>104</v>
      </c>
      <c r="L106" s="13">
        <v>19.5</v>
      </c>
      <c r="M106" s="13">
        <v>252.5</v>
      </c>
      <c r="N106" s="13">
        <v>106</v>
      </c>
      <c r="O106" s="13">
        <v>11.36</v>
      </c>
      <c r="P106" s="13">
        <v>12</v>
      </c>
      <c r="Q106" s="13">
        <v>3</v>
      </c>
      <c r="R106" s="13">
        <v>3.24</v>
      </c>
      <c r="S106" s="13">
        <v>1</v>
      </c>
      <c r="T106" s="13" t="b">
        <v>0</v>
      </c>
      <c r="U106" s="14" t="s">
        <v>72</v>
      </c>
    </row>
    <row r="107" spans="1:21" ht="13.95" customHeight="1" x14ac:dyDescent="0.3">
      <c r="A107" s="15" t="s">
        <v>116</v>
      </c>
      <c r="B107" s="15">
        <v>162</v>
      </c>
      <c r="C107" s="15">
        <v>415</v>
      </c>
      <c r="D107" s="15" t="s">
        <v>70</v>
      </c>
      <c r="E107" s="15" t="s">
        <v>70</v>
      </c>
      <c r="F107" s="15">
        <v>0</v>
      </c>
      <c r="G107" s="15">
        <v>70.7</v>
      </c>
      <c r="H107" s="15">
        <v>108</v>
      </c>
      <c r="I107" s="15">
        <v>12.02</v>
      </c>
      <c r="J107" s="15">
        <v>157.5</v>
      </c>
      <c r="K107" s="15">
        <v>87</v>
      </c>
      <c r="L107" s="15">
        <v>13.39</v>
      </c>
      <c r="M107" s="15">
        <v>154.80000000000001</v>
      </c>
      <c r="N107" s="15">
        <v>82</v>
      </c>
      <c r="O107" s="15">
        <v>6.97</v>
      </c>
      <c r="P107" s="15">
        <v>9.1</v>
      </c>
      <c r="Q107" s="15">
        <v>3</v>
      </c>
      <c r="R107" s="15">
        <v>2.46</v>
      </c>
      <c r="S107" s="15">
        <v>4</v>
      </c>
      <c r="T107" s="15" t="b">
        <v>1</v>
      </c>
      <c r="U107" s="16" t="s">
        <v>89</v>
      </c>
    </row>
    <row r="108" spans="1:21" ht="13.95" customHeight="1" x14ac:dyDescent="0.3">
      <c r="A108" s="13" t="s">
        <v>116</v>
      </c>
      <c r="B108" s="13">
        <v>61</v>
      </c>
      <c r="C108" s="13">
        <v>510</v>
      </c>
      <c r="D108" s="13" t="s">
        <v>70</v>
      </c>
      <c r="E108" s="13" t="s">
        <v>71</v>
      </c>
      <c r="F108" s="13">
        <v>27</v>
      </c>
      <c r="G108" s="13">
        <v>187.5</v>
      </c>
      <c r="H108" s="13">
        <v>124</v>
      </c>
      <c r="I108" s="13">
        <v>31.88</v>
      </c>
      <c r="J108" s="13">
        <v>146.6</v>
      </c>
      <c r="K108" s="13">
        <v>103</v>
      </c>
      <c r="L108" s="13">
        <v>12.46</v>
      </c>
      <c r="M108" s="13">
        <v>225.7</v>
      </c>
      <c r="N108" s="13">
        <v>129</v>
      </c>
      <c r="O108" s="13">
        <v>10.16</v>
      </c>
      <c r="P108" s="13">
        <v>6.4</v>
      </c>
      <c r="Q108" s="13">
        <v>6</v>
      </c>
      <c r="R108" s="13">
        <v>1.73</v>
      </c>
      <c r="S108" s="13">
        <v>4</v>
      </c>
      <c r="T108" s="13" t="b">
        <v>1</v>
      </c>
      <c r="U108" s="16" t="s">
        <v>89</v>
      </c>
    </row>
    <row r="109" spans="1:21" ht="13.95" customHeight="1" x14ac:dyDescent="0.3">
      <c r="A109" s="15" t="s">
        <v>86</v>
      </c>
      <c r="B109" s="15">
        <v>92</v>
      </c>
      <c r="C109" s="15">
        <v>408</v>
      </c>
      <c r="D109" s="15" t="s">
        <v>70</v>
      </c>
      <c r="E109" s="15" t="s">
        <v>70</v>
      </c>
      <c r="F109" s="15">
        <v>0</v>
      </c>
      <c r="G109" s="15">
        <v>91.7</v>
      </c>
      <c r="H109" s="15">
        <v>90</v>
      </c>
      <c r="I109" s="15">
        <v>15.59</v>
      </c>
      <c r="J109" s="15">
        <v>193.7</v>
      </c>
      <c r="K109" s="15">
        <v>123</v>
      </c>
      <c r="L109" s="15">
        <v>16.46</v>
      </c>
      <c r="M109" s="15">
        <v>175</v>
      </c>
      <c r="N109" s="15">
        <v>86</v>
      </c>
      <c r="O109" s="15">
        <v>7.88</v>
      </c>
      <c r="P109" s="15">
        <v>9.1999999999999993</v>
      </c>
      <c r="Q109" s="15">
        <v>4</v>
      </c>
      <c r="R109" s="15">
        <v>2.48</v>
      </c>
      <c r="S109" s="15">
        <v>2</v>
      </c>
      <c r="T109" s="15" t="b">
        <v>0</v>
      </c>
      <c r="U109" s="14" t="s">
        <v>72</v>
      </c>
    </row>
    <row r="110" spans="1:21" ht="13.95" customHeight="1" x14ac:dyDescent="0.3">
      <c r="A110" s="13" t="s">
        <v>91</v>
      </c>
      <c r="B110" s="13">
        <v>131</v>
      </c>
      <c r="C110" s="13">
        <v>408</v>
      </c>
      <c r="D110" s="13" t="s">
        <v>70</v>
      </c>
      <c r="E110" s="13" t="s">
        <v>71</v>
      </c>
      <c r="F110" s="13">
        <v>36</v>
      </c>
      <c r="G110" s="13">
        <v>214.2</v>
      </c>
      <c r="H110" s="13">
        <v>115</v>
      </c>
      <c r="I110" s="13">
        <v>36.409999999999997</v>
      </c>
      <c r="J110" s="13">
        <v>161.69999999999999</v>
      </c>
      <c r="K110" s="13">
        <v>117</v>
      </c>
      <c r="L110" s="13">
        <v>13.74</v>
      </c>
      <c r="M110" s="13">
        <v>264.7</v>
      </c>
      <c r="N110" s="13">
        <v>102</v>
      </c>
      <c r="O110" s="13">
        <v>11.91</v>
      </c>
      <c r="P110" s="13">
        <v>9.5</v>
      </c>
      <c r="Q110" s="13">
        <v>4</v>
      </c>
      <c r="R110" s="13">
        <v>2.57</v>
      </c>
      <c r="S110" s="13">
        <v>3</v>
      </c>
      <c r="T110" s="13" t="b">
        <v>0</v>
      </c>
      <c r="U110" s="14" t="s">
        <v>72</v>
      </c>
    </row>
    <row r="111" spans="1:21" ht="13.95" customHeight="1" x14ac:dyDescent="0.3">
      <c r="A111" s="15" t="s">
        <v>91</v>
      </c>
      <c r="B111" s="15">
        <v>90</v>
      </c>
      <c r="C111" s="15">
        <v>415</v>
      </c>
      <c r="D111" s="15" t="s">
        <v>70</v>
      </c>
      <c r="E111" s="15" t="s">
        <v>70</v>
      </c>
      <c r="F111" s="15">
        <v>0</v>
      </c>
      <c r="G111" s="15">
        <v>145.5</v>
      </c>
      <c r="H111" s="15">
        <v>92</v>
      </c>
      <c r="I111" s="15">
        <v>24.74</v>
      </c>
      <c r="J111" s="15">
        <v>217.7</v>
      </c>
      <c r="K111" s="15">
        <v>114</v>
      </c>
      <c r="L111" s="15">
        <v>18.5</v>
      </c>
      <c r="M111" s="15">
        <v>146.9</v>
      </c>
      <c r="N111" s="15">
        <v>123</v>
      </c>
      <c r="O111" s="15">
        <v>6.61</v>
      </c>
      <c r="P111" s="15">
        <v>10.9</v>
      </c>
      <c r="Q111" s="15">
        <v>2</v>
      </c>
      <c r="R111" s="15">
        <v>2.94</v>
      </c>
      <c r="S111" s="15">
        <v>3</v>
      </c>
      <c r="T111" s="15" t="b">
        <v>0</v>
      </c>
      <c r="U111" s="14" t="s">
        <v>72</v>
      </c>
    </row>
    <row r="112" spans="1:21" ht="13.95" customHeight="1" x14ac:dyDescent="0.3">
      <c r="A112" s="13" t="s">
        <v>74</v>
      </c>
      <c r="B112" s="13">
        <v>78</v>
      </c>
      <c r="C112" s="13">
        <v>415</v>
      </c>
      <c r="D112" s="13" t="s">
        <v>70</v>
      </c>
      <c r="E112" s="13" t="s">
        <v>70</v>
      </c>
      <c r="F112" s="13">
        <v>0</v>
      </c>
      <c r="G112" s="13">
        <v>231</v>
      </c>
      <c r="H112" s="13">
        <v>115</v>
      </c>
      <c r="I112" s="13">
        <v>39.270000000000003</v>
      </c>
      <c r="J112" s="13">
        <v>230.4</v>
      </c>
      <c r="K112" s="13">
        <v>140</v>
      </c>
      <c r="L112" s="13">
        <v>19.579999999999998</v>
      </c>
      <c r="M112" s="13">
        <v>261.39999999999998</v>
      </c>
      <c r="N112" s="13">
        <v>120</v>
      </c>
      <c r="O112" s="13">
        <v>11.76</v>
      </c>
      <c r="P112" s="13">
        <v>9.5</v>
      </c>
      <c r="Q112" s="13">
        <v>3</v>
      </c>
      <c r="R112" s="13">
        <v>2.57</v>
      </c>
      <c r="S112" s="13">
        <v>1</v>
      </c>
      <c r="T112" s="13" t="b">
        <v>0</v>
      </c>
      <c r="U112" s="14" t="s">
        <v>72</v>
      </c>
    </row>
    <row r="113" spans="1:21" ht="13.95" customHeight="1" x14ac:dyDescent="0.3">
      <c r="A113" s="15" t="s">
        <v>86</v>
      </c>
      <c r="B113" s="15">
        <v>82</v>
      </c>
      <c r="C113" s="15">
        <v>408</v>
      </c>
      <c r="D113" s="15" t="s">
        <v>70</v>
      </c>
      <c r="E113" s="15" t="s">
        <v>70</v>
      </c>
      <c r="F113" s="15">
        <v>0</v>
      </c>
      <c r="G113" s="15">
        <v>200.3</v>
      </c>
      <c r="H113" s="15">
        <v>96</v>
      </c>
      <c r="I113" s="15">
        <v>34.049999999999997</v>
      </c>
      <c r="J113" s="15">
        <v>201.2</v>
      </c>
      <c r="K113" s="15">
        <v>102</v>
      </c>
      <c r="L113" s="15">
        <v>17.100000000000001</v>
      </c>
      <c r="M113" s="15">
        <v>206.1</v>
      </c>
      <c r="N113" s="15">
        <v>60</v>
      </c>
      <c r="O113" s="15">
        <v>9.27</v>
      </c>
      <c r="P113" s="15">
        <v>7.1</v>
      </c>
      <c r="Q113" s="15">
        <v>1</v>
      </c>
      <c r="R113" s="15">
        <v>1.92</v>
      </c>
      <c r="S113" s="15">
        <v>4</v>
      </c>
      <c r="T113" s="15" t="b">
        <v>0</v>
      </c>
      <c r="U113" s="14" t="s">
        <v>72</v>
      </c>
    </row>
    <row r="114" spans="1:21" ht="13.95" customHeight="1" x14ac:dyDescent="0.3">
      <c r="A114" s="13" t="s">
        <v>99</v>
      </c>
      <c r="B114" s="13">
        <v>163</v>
      </c>
      <c r="C114" s="13">
        <v>408</v>
      </c>
      <c r="D114" s="13" t="s">
        <v>70</v>
      </c>
      <c r="E114" s="13" t="s">
        <v>70</v>
      </c>
      <c r="F114" s="13">
        <v>0</v>
      </c>
      <c r="G114" s="13">
        <v>197</v>
      </c>
      <c r="H114" s="13">
        <v>109</v>
      </c>
      <c r="I114" s="13">
        <v>33.49</v>
      </c>
      <c r="J114" s="13">
        <v>202.6</v>
      </c>
      <c r="K114" s="13">
        <v>128</v>
      </c>
      <c r="L114" s="13">
        <v>17.22</v>
      </c>
      <c r="M114" s="13">
        <v>206.4</v>
      </c>
      <c r="N114" s="13">
        <v>80</v>
      </c>
      <c r="O114" s="13">
        <v>9.2899999999999991</v>
      </c>
      <c r="P114" s="13">
        <v>9.1</v>
      </c>
      <c r="Q114" s="13">
        <v>10</v>
      </c>
      <c r="R114" s="13">
        <v>2.46</v>
      </c>
      <c r="S114" s="13">
        <v>1</v>
      </c>
      <c r="T114" s="13" t="b">
        <v>0</v>
      </c>
      <c r="U114" s="14" t="s">
        <v>72</v>
      </c>
    </row>
    <row r="115" spans="1:21" ht="13.95" customHeight="1" x14ac:dyDescent="0.3">
      <c r="A115" s="15" t="s">
        <v>76</v>
      </c>
      <c r="B115" s="15">
        <v>91</v>
      </c>
      <c r="C115" s="15">
        <v>510</v>
      </c>
      <c r="D115" s="15" t="s">
        <v>71</v>
      </c>
      <c r="E115" s="15" t="s">
        <v>70</v>
      </c>
      <c r="F115" s="15">
        <v>0</v>
      </c>
      <c r="G115" s="15">
        <v>129.9</v>
      </c>
      <c r="H115" s="15">
        <v>112</v>
      </c>
      <c r="I115" s="15">
        <v>22.08</v>
      </c>
      <c r="J115" s="15">
        <v>173.3</v>
      </c>
      <c r="K115" s="15">
        <v>83</v>
      </c>
      <c r="L115" s="15">
        <v>14.73</v>
      </c>
      <c r="M115" s="15">
        <v>247.2</v>
      </c>
      <c r="N115" s="15">
        <v>130</v>
      </c>
      <c r="O115" s="15">
        <v>11.12</v>
      </c>
      <c r="P115" s="15">
        <v>11.2</v>
      </c>
      <c r="Q115" s="15">
        <v>3</v>
      </c>
      <c r="R115" s="15">
        <v>3.02</v>
      </c>
      <c r="S115" s="15">
        <v>3</v>
      </c>
      <c r="T115" s="15" t="b">
        <v>0</v>
      </c>
      <c r="U115" s="14" t="s">
        <v>72</v>
      </c>
    </row>
    <row r="116" spans="1:21" ht="13.95" customHeight="1" x14ac:dyDescent="0.3">
      <c r="A116" s="13" t="s">
        <v>113</v>
      </c>
      <c r="B116" s="13">
        <v>75</v>
      </c>
      <c r="C116" s="13">
        <v>415</v>
      </c>
      <c r="D116" s="13" t="s">
        <v>70</v>
      </c>
      <c r="E116" s="13" t="s">
        <v>71</v>
      </c>
      <c r="F116" s="13">
        <v>21</v>
      </c>
      <c r="G116" s="13">
        <v>175.8</v>
      </c>
      <c r="H116" s="13">
        <v>97</v>
      </c>
      <c r="I116" s="13">
        <v>29.89</v>
      </c>
      <c r="J116" s="13">
        <v>217.5</v>
      </c>
      <c r="K116" s="13">
        <v>106</v>
      </c>
      <c r="L116" s="13">
        <v>18.489999999999998</v>
      </c>
      <c r="M116" s="13">
        <v>237.5</v>
      </c>
      <c r="N116" s="13">
        <v>134</v>
      </c>
      <c r="O116" s="13">
        <v>10.69</v>
      </c>
      <c r="P116" s="13">
        <v>5.3</v>
      </c>
      <c r="Q116" s="13">
        <v>4</v>
      </c>
      <c r="R116" s="13">
        <v>1.43</v>
      </c>
      <c r="S116" s="13">
        <v>5</v>
      </c>
      <c r="T116" s="13" t="b">
        <v>0</v>
      </c>
      <c r="U116" s="14" t="s">
        <v>72</v>
      </c>
    </row>
    <row r="117" spans="1:21" ht="13.95" customHeight="1" x14ac:dyDescent="0.3">
      <c r="A117" s="15" t="s">
        <v>87</v>
      </c>
      <c r="B117" s="15">
        <v>91</v>
      </c>
      <c r="C117" s="15">
        <v>510</v>
      </c>
      <c r="D117" s="15" t="s">
        <v>70</v>
      </c>
      <c r="E117" s="15" t="s">
        <v>70</v>
      </c>
      <c r="F117" s="15">
        <v>0</v>
      </c>
      <c r="G117" s="15">
        <v>203.1</v>
      </c>
      <c r="H117" s="15">
        <v>106</v>
      </c>
      <c r="I117" s="15">
        <v>34.53</v>
      </c>
      <c r="J117" s="15">
        <v>210.1</v>
      </c>
      <c r="K117" s="15">
        <v>113</v>
      </c>
      <c r="L117" s="15">
        <v>17.86</v>
      </c>
      <c r="M117" s="15">
        <v>195.6</v>
      </c>
      <c r="N117" s="15">
        <v>129</v>
      </c>
      <c r="O117" s="15">
        <v>8.8000000000000007</v>
      </c>
      <c r="P117" s="15">
        <v>12</v>
      </c>
      <c r="Q117" s="15">
        <v>3</v>
      </c>
      <c r="R117" s="15">
        <v>3.24</v>
      </c>
      <c r="S117" s="15">
        <v>3</v>
      </c>
      <c r="T117" s="15" t="b">
        <v>0</v>
      </c>
      <c r="U117" s="14" t="s">
        <v>72</v>
      </c>
    </row>
    <row r="118" spans="1:21" ht="13.95" customHeight="1" x14ac:dyDescent="0.3">
      <c r="A118" s="13" t="s">
        <v>97</v>
      </c>
      <c r="B118" s="13">
        <v>127</v>
      </c>
      <c r="C118" s="13">
        <v>510</v>
      </c>
      <c r="D118" s="13" t="s">
        <v>70</v>
      </c>
      <c r="E118" s="13" t="s">
        <v>71</v>
      </c>
      <c r="F118" s="13">
        <v>36</v>
      </c>
      <c r="G118" s="13">
        <v>183.2</v>
      </c>
      <c r="H118" s="13">
        <v>117</v>
      </c>
      <c r="I118" s="13">
        <v>31.14</v>
      </c>
      <c r="J118" s="13">
        <v>126.8</v>
      </c>
      <c r="K118" s="13">
        <v>76</v>
      </c>
      <c r="L118" s="13">
        <v>10.78</v>
      </c>
      <c r="M118" s="13">
        <v>263.3</v>
      </c>
      <c r="N118" s="13">
        <v>71</v>
      </c>
      <c r="O118" s="13">
        <v>11.85</v>
      </c>
      <c r="P118" s="13">
        <v>11.2</v>
      </c>
      <c r="Q118" s="13">
        <v>8</v>
      </c>
      <c r="R118" s="13">
        <v>3.02</v>
      </c>
      <c r="S118" s="13">
        <v>1</v>
      </c>
      <c r="T118" s="13" t="b">
        <v>0</v>
      </c>
      <c r="U118" s="14" t="s">
        <v>72</v>
      </c>
    </row>
    <row r="119" spans="1:21" ht="13.95" customHeight="1" x14ac:dyDescent="0.3">
      <c r="A119" s="15" t="s">
        <v>111</v>
      </c>
      <c r="B119" s="15">
        <v>113</v>
      </c>
      <c r="C119" s="15">
        <v>415</v>
      </c>
      <c r="D119" s="15" t="s">
        <v>70</v>
      </c>
      <c r="E119" s="15" t="s">
        <v>71</v>
      </c>
      <c r="F119" s="15">
        <v>23</v>
      </c>
      <c r="G119" s="15">
        <v>205</v>
      </c>
      <c r="H119" s="15">
        <v>101</v>
      </c>
      <c r="I119" s="15">
        <v>34.85</v>
      </c>
      <c r="J119" s="15">
        <v>152</v>
      </c>
      <c r="K119" s="15">
        <v>60</v>
      </c>
      <c r="L119" s="15">
        <v>12.92</v>
      </c>
      <c r="M119" s="15">
        <v>158.6</v>
      </c>
      <c r="N119" s="15">
        <v>59</v>
      </c>
      <c r="O119" s="15">
        <v>7.14</v>
      </c>
      <c r="P119" s="15">
        <v>10.199999999999999</v>
      </c>
      <c r="Q119" s="15">
        <v>5</v>
      </c>
      <c r="R119" s="15">
        <v>2.75</v>
      </c>
      <c r="S119" s="15">
        <v>2</v>
      </c>
      <c r="T119" s="15" t="b">
        <v>0</v>
      </c>
      <c r="U119" s="14" t="s">
        <v>72</v>
      </c>
    </row>
    <row r="120" spans="1:21" ht="13.95" customHeight="1" x14ac:dyDescent="0.3">
      <c r="A120" s="13" t="s">
        <v>102</v>
      </c>
      <c r="B120" s="13">
        <v>110</v>
      </c>
      <c r="C120" s="13">
        <v>510</v>
      </c>
      <c r="D120" s="13" t="s">
        <v>70</v>
      </c>
      <c r="E120" s="13" t="s">
        <v>70</v>
      </c>
      <c r="F120" s="13">
        <v>0</v>
      </c>
      <c r="G120" s="13">
        <v>148.5</v>
      </c>
      <c r="H120" s="13">
        <v>115</v>
      </c>
      <c r="I120" s="13">
        <v>25.25</v>
      </c>
      <c r="J120" s="13">
        <v>276.39999999999998</v>
      </c>
      <c r="K120" s="13">
        <v>84</v>
      </c>
      <c r="L120" s="13">
        <v>23.49</v>
      </c>
      <c r="M120" s="13">
        <v>193.6</v>
      </c>
      <c r="N120" s="13">
        <v>112</v>
      </c>
      <c r="O120" s="13">
        <v>8.7100000000000009</v>
      </c>
      <c r="P120" s="13">
        <v>12.4</v>
      </c>
      <c r="Q120" s="13">
        <v>3</v>
      </c>
      <c r="R120" s="13">
        <v>3.35</v>
      </c>
      <c r="S120" s="13">
        <v>1</v>
      </c>
      <c r="T120" s="13" t="b">
        <v>0</v>
      </c>
      <c r="U120" s="14" t="s">
        <v>72</v>
      </c>
    </row>
    <row r="121" spans="1:21" ht="13.95" customHeight="1" x14ac:dyDescent="0.3">
      <c r="A121" s="15" t="s">
        <v>98</v>
      </c>
      <c r="B121" s="15">
        <v>120</v>
      </c>
      <c r="C121" s="15">
        <v>415</v>
      </c>
      <c r="D121" s="15" t="s">
        <v>70</v>
      </c>
      <c r="E121" s="15" t="s">
        <v>71</v>
      </c>
      <c r="F121" s="15">
        <v>39</v>
      </c>
      <c r="G121" s="15">
        <v>200.3</v>
      </c>
      <c r="H121" s="15">
        <v>68</v>
      </c>
      <c r="I121" s="15">
        <v>34.049999999999997</v>
      </c>
      <c r="J121" s="15">
        <v>220.4</v>
      </c>
      <c r="K121" s="15">
        <v>97</v>
      </c>
      <c r="L121" s="15">
        <v>18.73</v>
      </c>
      <c r="M121" s="15">
        <v>253.8</v>
      </c>
      <c r="N121" s="15">
        <v>116</v>
      </c>
      <c r="O121" s="15">
        <v>11.42</v>
      </c>
      <c r="P121" s="15">
        <v>10.5</v>
      </c>
      <c r="Q121" s="15">
        <v>4</v>
      </c>
      <c r="R121" s="15">
        <v>2.84</v>
      </c>
      <c r="S121" s="15">
        <v>0</v>
      </c>
      <c r="T121" s="15" t="b">
        <v>0</v>
      </c>
      <c r="U121" s="14" t="s">
        <v>72</v>
      </c>
    </row>
    <row r="122" spans="1:21" ht="13.95" customHeight="1" x14ac:dyDescent="0.3">
      <c r="A122" s="13" t="s">
        <v>117</v>
      </c>
      <c r="B122" s="13">
        <v>157</v>
      </c>
      <c r="C122" s="13">
        <v>415</v>
      </c>
      <c r="D122" s="13" t="s">
        <v>70</v>
      </c>
      <c r="E122" s="13" t="s">
        <v>71</v>
      </c>
      <c r="F122" s="13">
        <v>28</v>
      </c>
      <c r="G122" s="13">
        <v>192.6</v>
      </c>
      <c r="H122" s="13">
        <v>107</v>
      </c>
      <c r="I122" s="13">
        <v>32.74</v>
      </c>
      <c r="J122" s="13">
        <v>195.5</v>
      </c>
      <c r="K122" s="13">
        <v>74</v>
      </c>
      <c r="L122" s="13">
        <v>16.62</v>
      </c>
      <c r="M122" s="13">
        <v>109.7</v>
      </c>
      <c r="N122" s="13">
        <v>139</v>
      </c>
      <c r="O122" s="13">
        <v>4.9400000000000004</v>
      </c>
      <c r="P122" s="13">
        <v>6.8</v>
      </c>
      <c r="Q122" s="13">
        <v>5</v>
      </c>
      <c r="R122" s="13">
        <v>1.84</v>
      </c>
      <c r="S122" s="13">
        <v>3</v>
      </c>
      <c r="T122" s="13" t="b">
        <v>0</v>
      </c>
      <c r="U122" s="14" t="s">
        <v>72</v>
      </c>
    </row>
    <row r="123" spans="1:21" ht="13.95" customHeight="1" x14ac:dyDescent="0.3">
      <c r="A123" s="15" t="s">
        <v>84</v>
      </c>
      <c r="B123" s="15">
        <v>103</v>
      </c>
      <c r="C123" s="15">
        <v>510</v>
      </c>
      <c r="D123" s="15" t="s">
        <v>70</v>
      </c>
      <c r="E123" s="15" t="s">
        <v>70</v>
      </c>
      <c r="F123" s="15">
        <v>0</v>
      </c>
      <c r="G123" s="15">
        <v>246.5</v>
      </c>
      <c r="H123" s="15">
        <v>47</v>
      </c>
      <c r="I123" s="15">
        <v>41.91</v>
      </c>
      <c r="J123" s="15">
        <v>195.5</v>
      </c>
      <c r="K123" s="15">
        <v>84</v>
      </c>
      <c r="L123" s="15">
        <v>16.62</v>
      </c>
      <c r="M123" s="15">
        <v>200.5</v>
      </c>
      <c r="N123" s="15">
        <v>96</v>
      </c>
      <c r="O123" s="15">
        <v>9.02</v>
      </c>
      <c r="P123" s="15">
        <v>11.7</v>
      </c>
      <c r="Q123" s="15">
        <v>4</v>
      </c>
      <c r="R123" s="15">
        <v>3.16</v>
      </c>
      <c r="S123" s="15">
        <v>1</v>
      </c>
      <c r="T123" s="15" t="b">
        <v>0</v>
      </c>
      <c r="U123" s="14" t="s">
        <v>72</v>
      </c>
    </row>
    <row r="124" spans="1:21" ht="13.95" customHeight="1" x14ac:dyDescent="0.3">
      <c r="A124" s="13" t="s">
        <v>84</v>
      </c>
      <c r="B124" s="13">
        <v>117</v>
      </c>
      <c r="C124" s="13">
        <v>408</v>
      </c>
      <c r="D124" s="13" t="s">
        <v>71</v>
      </c>
      <c r="E124" s="13" t="s">
        <v>70</v>
      </c>
      <c r="F124" s="13">
        <v>0</v>
      </c>
      <c r="G124" s="13">
        <v>167.1</v>
      </c>
      <c r="H124" s="13">
        <v>86</v>
      </c>
      <c r="I124" s="13">
        <v>28.41</v>
      </c>
      <c r="J124" s="13">
        <v>177.5</v>
      </c>
      <c r="K124" s="13">
        <v>87</v>
      </c>
      <c r="L124" s="13">
        <v>15.09</v>
      </c>
      <c r="M124" s="13">
        <v>249.4</v>
      </c>
      <c r="N124" s="13">
        <v>132</v>
      </c>
      <c r="O124" s="13">
        <v>11.22</v>
      </c>
      <c r="P124" s="13">
        <v>14.1</v>
      </c>
      <c r="Q124" s="13">
        <v>7</v>
      </c>
      <c r="R124" s="13">
        <v>3.81</v>
      </c>
      <c r="S124" s="13">
        <v>2</v>
      </c>
      <c r="T124" s="13" t="b">
        <v>1</v>
      </c>
      <c r="U124" s="16" t="s">
        <v>89</v>
      </c>
    </row>
    <row r="125" spans="1:21" ht="13.95" customHeight="1" x14ac:dyDescent="0.3">
      <c r="A125" s="15" t="s">
        <v>117</v>
      </c>
      <c r="B125" s="15">
        <v>140</v>
      </c>
      <c r="C125" s="15">
        <v>415</v>
      </c>
      <c r="D125" s="15" t="s">
        <v>70</v>
      </c>
      <c r="E125" s="15" t="s">
        <v>70</v>
      </c>
      <c r="F125" s="15">
        <v>0</v>
      </c>
      <c r="G125" s="15">
        <v>231.9</v>
      </c>
      <c r="H125" s="15">
        <v>101</v>
      </c>
      <c r="I125" s="15">
        <v>39.42</v>
      </c>
      <c r="J125" s="15">
        <v>160.1</v>
      </c>
      <c r="K125" s="15">
        <v>94</v>
      </c>
      <c r="L125" s="15">
        <v>13.61</v>
      </c>
      <c r="M125" s="15">
        <v>110.4</v>
      </c>
      <c r="N125" s="15">
        <v>98</v>
      </c>
      <c r="O125" s="15">
        <v>4.97</v>
      </c>
      <c r="P125" s="15">
        <v>14.3</v>
      </c>
      <c r="Q125" s="15">
        <v>6</v>
      </c>
      <c r="R125" s="15">
        <v>3.86</v>
      </c>
      <c r="S125" s="15">
        <v>3</v>
      </c>
      <c r="T125" s="15" t="b">
        <v>0</v>
      </c>
      <c r="U125" s="14" t="s">
        <v>72</v>
      </c>
    </row>
    <row r="126" spans="1:21" ht="13.95" customHeight="1" x14ac:dyDescent="0.3">
      <c r="A126" s="13" t="s">
        <v>104</v>
      </c>
      <c r="B126" s="13">
        <v>83</v>
      </c>
      <c r="C126" s="13">
        <v>408</v>
      </c>
      <c r="D126" s="13" t="s">
        <v>71</v>
      </c>
      <c r="E126" s="13" t="s">
        <v>70</v>
      </c>
      <c r="F126" s="13">
        <v>0</v>
      </c>
      <c r="G126" s="13">
        <v>271.5</v>
      </c>
      <c r="H126" s="13">
        <v>87</v>
      </c>
      <c r="I126" s="13">
        <v>46.16</v>
      </c>
      <c r="J126" s="13">
        <v>216.3</v>
      </c>
      <c r="K126" s="13">
        <v>126</v>
      </c>
      <c r="L126" s="13">
        <v>18.39</v>
      </c>
      <c r="M126" s="13">
        <v>121.1</v>
      </c>
      <c r="N126" s="13">
        <v>105</v>
      </c>
      <c r="O126" s="13">
        <v>5.45</v>
      </c>
      <c r="P126" s="13">
        <v>11.7</v>
      </c>
      <c r="Q126" s="13">
        <v>4</v>
      </c>
      <c r="R126" s="13">
        <v>3.16</v>
      </c>
      <c r="S126" s="13">
        <v>1</v>
      </c>
      <c r="T126" s="13" t="b">
        <v>0</v>
      </c>
      <c r="U126" s="14" t="s">
        <v>72</v>
      </c>
    </row>
    <row r="127" spans="1:21" ht="13.95" customHeight="1" x14ac:dyDescent="0.3">
      <c r="A127" s="15" t="s">
        <v>80</v>
      </c>
      <c r="B127" s="15">
        <v>145</v>
      </c>
      <c r="C127" s="15">
        <v>408</v>
      </c>
      <c r="D127" s="15" t="s">
        <v>70</v>
      </c>
      <c r="E127" s="15" t="s">
        <v>71</v>
      </c>
      <c r="F127" s="15">
        <v>43</v>
      </c>
      <c r="G127" s="15">
        <v>257.7</v>
      </c>
      <c r="H127" s="15">
        <v>97</v>
      </c>
      <c r="I127" s="15">
        <v>43.81</v>
      </c>
      <c r="J127" s="15">
        <v>162.1</v>
      </c>
      <c r="K127" s="15">
        <v>95</v>
      </c>
      <c r="L127" s="15">
        <v>13.78</v>
      </c>
      <c r="M127" s="15">
        <v>286.89999999999998</v>
      </c>
      <c r="N127" s="15">
        <v>86</v>
      </c>
      <c r="O127" s="15">
        <v>12.91</v>
      </c>
      <c r="P127" s="15">
        <v>11.1</v>
      </c>
      <c r="Q127" s="15">
        <v>4</v>
      </c>
      <c r="R127" s="15">
        <v>3</v>
      </c>
      <c r="S127" s="15">
        <v>2</v>
      </c>
      <c r="T127" s="15" t="b">
        <v>0</v>
      </c>
      <c r="U127" s="14" t="s">
        <v>72</v>
      </c>
    </row>
    <row r="128" spans="1:21" ht="13.95" customHeight="1" x14ac:dyDescent="0.3">
      <c r="A128" s="13" t="s">
        <v>81</v>
      </c>
      <c r="B128" s="13">
        <v>113</v>
      </c>
      <c r="C128" s="13">
        <v>408</v>
      </c>
      <c r="D128" s="13" t="s">
        <v>70</v>
      </c>
      <c r="E128" s="13" t="s">
        <v>70</v>
      </c>
      <c r="F128" s="13">
        <v>0</v>
      </c>
      <c r="G128" s="13">
        <v>193.8</v>
      </c>
      <c r="H128" s="13">
        <v>99</v>
      </c>
      <c r="I128" s="13">
        <v>32.950000000000003</v>
      </c>
      <c r="J128" s="13">
        <v>221.4</v>
      </c>
      <c r="K128" s="13">
        <v>125</v>
      </c>
      <c r="L128" s="13">
        <v>18.82</v>
      </c>
      <c r="M128" s="13">
        <v>172.3</v>
      </c>
      <c r="N128" s="13">
        <v>67</v>
      </c>
      <c r="O128" s="13">
        <v>7.75</v>
      </c>
      <c r="P128" s="13">
        <v>10.6</v>
      </c>
      <c r="Q128" s="13">
        <v>6</v>
      </c>
      <c r="R128" s="13">
        <v>2.86</v>
      </c>
      <c r="S128" s="13">
        <v>1</v>
      </c>
      <c r="T128" s="13" t="b">
        <v>0</v>
      </c>
      <c r="U128" s="14" t="s">
        <v>72</v>
      </c>
    </row>
    <row r="129" spans="1:21" ht="13.95" customHeight="1" x14ac:dyDescent="0.3">
      <c r="A129" s="15" t="s">
        <v>80</v>
      </c>
      <c r="B129" s="15">
        <v>56</v>
      </c>
      <c r="C129" s="15">
        <v>415</v>
      </c>
      <c r="D129" s="15" t="s">
        <v>70</v>
      </c>
      <c r="E129" s="15" t="s">
        <v>70</v>
      </c>
      <c r="F129" s="15">
        <v>0</v>
      </c>
      <c r="G129" s="15">
        <v>226</v>
      </c>
      <c r="H129" s="15">
        <v>112</v>
      </c>
      <c r="I129" s="15">
        <v>38.42</v>
      </c>
      <c r="J129" s="15">
        <v>248.5</v>
      </c>
      <c r="K129" s="15">
        <v>118</v>
      </c>
      <c r="L129" s="15">
        <v>21.12</v>
      </c>
      <c r="M129" s="15">
        <v>140.5</v>
      </c>
      <c r="N129" s="15">
        <v>142</v>
      </c>
      <c r="O129" s="15">
        <v>6.32</v>
      </c>
      <c r="P129" s="15">
        <v>6.9</v>
      </c>
      <c r="Q129" s="15">
        <v>11</v>
      </c>
      <c r="R129" s="15">
        <v>1.86</v>
      </c>
      <c r="S129" s="15">
        <v>1</v>
      </c>
      <c r="T129" s="15" t="b">
        <v>0</v>
      </c>
      <c r="U129" s="14" t="s">
        <v>72</v>
      </c>
    </row>
    <row r="130" spans="1:21" ht="13.95" customHeight="1" x14ac:dyDescent="0.3">
      <c r="A130" s="13" t="s">
        <v>75</v>
      </c>
      <c r="B130" s="13">
        <v>96</v>
      </c>
      <c r="C130" s="13">
        <v>415</v>
      </c>
      <c r="D130" s="13" t="s">
        <v>70</v>
      </c>
      <c r="E130" s="13" t="s">
        <v>70</v>
      </c>
      <c r="F130" s="13">
        <v>0</v>
      </c>
      <c r="G130" s="13">
        <v>260.39999999999998</v>
      </c>
      <c r="H130" s="13">
        <v>115</v>
      </c>
      <c r="I130" s="13">
        <v>44.27</v>
      </c>
      <c r="J130" s="13">
        <v>146</v>
      </c>
      <c r="K130" s="13">
        <v>46</v>
      </c>
      <c r="L130" s="13">
        <v>12.41</v>
      </c>
      <c r="M130" s="13">
        <v>269.5</v>
      </c>
      <c r="N130" s="13">
        <v>87</v>
      </c>
      <c r="O130" s="13">
        <v>12.13</v>
      </c>
      <c r="P130" s="13">
        <v>11.5</v>
      </c>
      <c r="Q130" s="13">
        <v>4</v>
      </c>
      <c r="R130" s="13">
        <v>3.11</v>
      </c>
      <c r="S130" s="13">
        <v>5</v>
      </c>
      <c r="T130" s="13" t="b">
        <v>0</v>
      </c>
      <c r="U130" s="14" t="s">
        <v>72</v>
      </c>
    </row>
    <row r="131" spans="1:21" ht="13.95" customHeight="1" x14ac:dyDescent="0.3">
      <c r="A131" s="15" t="s">
        <v>95</v>
      </c>
      <c r="B131" s="15">
        <v>151</v>
      </c>
      <c r="C131" s="15">
        <v>408</v>
      </c>
      <c r="D131" s="15" t="s">
        <v>70</v>
      </c>
      <c r="E131" s="15" t="s">
        <v>70</v>
      </c>
      <c r="F131" s="15">
        <v>0</v>
      </c>
      <c r="G131" s="15">
        <v>178.7</v>
      </c>
      <c r="H131" s="15">
        <v>116</v>
      </c>
      <c r="I131" s="15">
        <v>30.38</v>
      </c>
      <c r="J131" s="15">
        <v>292.10000000000002</v>
      </c>
      <c r="K131" s="15">
        <v>138</v>
      </c>
      <c r="L131" s="15">
        <v>24.83</v>
      </c>
      <c r="M131" s="15">
        <v>265.89999999999998</v>
      </c>
      <c r="N131" s="15">
        <v>101</v>
      </c>
      <c r="O131" s="15">
        <v>11.97</v>
      </c>
      <c r="P131" s="15">
        <v>9.8000000000000007</v>
      </c>
      <c r="Q131" s="15">
        <v>4</v>
      </c>
      <c r="R131" s="15">
        <v>2.65</v>
      </c>
      <c r="S131" s="15">
        <v>0</v>
      </c>
      <c r="T131" s="15" t="b">
        <v>0</v>
      </c>
      <c r="U131" s="14" t="s">
        <v>72</v>
      </c>
    </row>
    <row r="132" spans="1:21" ht="13.95" customHeight="1" x14ac:dyDescent="0.3">
      <c r="A132" s="13" t="s">
        <v>73</v>
      </c>
      <c r="B132" s="13">
        <v>83</v>
      </c>
      <c r="C132" s="13">
        <v>415</v>
      </c>
      <c r="D132" s="13" t="s">
        <v>70</v>
      </c>
      <c r="E132" s="13" t="s">
        <v>70</v>
      </c>
      <c r="F132" s="13">
        <v>0</v>
      </c>
      <c r="G132" s="13">
        <v>337.4</v>
      </c>
      <c r="H132" s="13">
        <v>120</v>
      </c>
      <c r="I132" s="13">
        <v>57.36</v>
      </c>
      <c r="J132" s="13">
        <v>227.4</v>
      </c>
      <c r="K132" s="13">
        <v>116</v>
      </c>
      <c r="L132" s="13">
        <v>19.329999999999998</v>
      </c>
      <c r="M132" s="13">
        <v>153.9</v>
      </c>
      <c r="N132" s="13">
        <v>114</v>
      </c>
      <c r="O132" s="13">
        <v>6.93</v>
      </c>
      <c r="P132" s="13">
        <v>15.8</v>
      </c>
      <c r="Q132" s="13">
        <v>7</v>
      </c>
      <c r="R132" s="13">
        <v>4.2699999999999996</v>
      </c>
      <c r="S132" s="13">
        <v>0</v>
      </c>
      <c r="T132" s="13" t="b">
        <v>1</v>
      </c>
      <c r="U132" s="16" t="s">
        <v>89</v>
      </c>
    </row>
    <row r="133" spans="1:21" ht="13.95" customHeight="1" x14ac:dyDescent="0.3">
      <c r="A133" s="15" t="s">
        <v>85</v>
      </c>
      <c r="B133" s="15">
        <v>139</v>
      </c>
      <c r="C133" s="15">
        <v>510</v>
      </c>
      <c r="D133" s="15" t="s">
        <v>70</v>
      </c>
      <c r="E133" s="15" t="s">
        <v>71</v>
      </c>
      <c r="F133" s="15">
        <v>23</v>
      </c>
      <c r="G133" s="15">
        <v>157.6</v>
      </c>
      <c r="H133" s="15">
        <v>129</v>
      </c>
      <c r="I133" s="15">
        <v>26.79</v>
      </c>
      <c r="J133" s="15">
        <v>247</v>
      </c>
      <c r="K133" s="15">
        <v>96</v>
      </c>
      <c r="L133" s="15">
        <v>21</v>
      </c>
      <c r="M133" s="15">
        <v>259.2</v>
      </c>
      <c r="N133" s="15">
        <v>112</v>
      </c>
      <c r="O133" s="15">
        <v>11.66</v>
      </c>
      <c r="P133" s="15">
        <v>13.7</v>
      </c>
      <c r="Q133" s="15">
        <v>2</v>
      </c>
      <c r="R133" s="15">
        <v>3.7</v>
      </c>
      <c r="S133" s="15">
        <v>0</v>
      </c>
      <c r="T133" s="15" t="b">
        <v>0</v>
      </c>
      <c r="U133" s="14" t="s">
        <v>72</v>
      </c>
    </row>
    <row r="134" spans="1:21" ht="13.95" customHeight="1" x14ac:dyDescent="0.3">
      <c r="A134" s="13" t="s">
        <v>87</v>
      </c>
      <c r="B134" s="13">
        <v>115</v>
      </c>
      <c r="C134" s="13">
        <v>510</v>
      </c>
      <c r="D134" s="13" t="s">
        <v>70</v>
      </c>
      <c r="E134" s="13" t="s">
        <v>71</v>
      </c>
      <c r="F134" s="13">
        <v>24</v>
      </c>
      <c r="G134" s="13">
        <v>142.1</v>
      </c>
      <c r="H134" s="13">
        <v>124</v>
      </c>
      <c r="I134" s="13">
        <v>24.16</v>
      </c>
      <c r="J134" s="13">
        <v>183.4</v>
      </c>
      <c r="K134" s="13">
        <v>129</v>
      </c>
      <c r="L134" s="13">
        <v>15.59</v>
      </c>
      <c r="M134" s="13">
        <v>164.8</v>
      </c>
      <c r="N134" s="13">
        <v>114</v>
      </c>
      <c r="O134" s="13">
        <v>7.42</v>
      </c>
      <c r="P134" s="13">
        <v>9.6</v>
      </c>
      <c r="Q134" s="13">
        <v>4</v>
      </c>
      <c r="R134" s="13">
        <v>2.59</v>
      </c>
      <c r="S134" s="13">
        <v>1</v>
      </c>
      <c r="T134" s="13" t="b">
        <v>0</v>
      </c>
      <c r="U134" s="14" t="s">
        <v>72</v>
      </c>
    </row>
    <row r="135" spans="1:21" ht="13.95" customHeight="1" x14ac:dyDescent="0.3">
      <c r="A135" s="15" t="s">
        <v>118</v>
      </c>
      <c r="B135" s="15">
        <v>87</v>
      </c>
      <c r="C135" s="15">
        <v>415</v>
      </c>
      <c r="D135" s="15" t="s">
        <v>70</v>
      </c>
      <c r="E135" s="15" t="s">
        <v>70</v>
      </c>
      <c r="F135" s="15">
        <v>0</v>
      </c>
      <c r="G135" s="15">
        <v>136.30000000000001</v>
      </c>
      <c r="H135" s="15">
        <v>97</v>
      </c>
      <c r="I135" s="15">
        <v>23.17</v>
      </c>
      <c r="J135" s="15">
        <v>172.2</v>
      </c>
      <c r="K135" s="15">
        <v>108</v>
      </c>
      <c r="L135" s="15">
        <v>14.64</v>
      </c>
      <c r="M135" s="15">
        <v>137.5</v>
      </c>
      <c r="N135" s="15">
        <v>101</v>
      </c>
      <c r="O135" s="15">
        <v>6.19</v>
      </c>
      <c r="P135" s="15">
        <v>7.1</v>
      </c>
      <c r="Q135" s="15">
        <v>5</v>
      </c>
      <c r="R135" s="15">
        <v>1.92</v>
      </c>
      <c r="S135" s="15">
        <v>0</v>
      </c>
      <c r="T135" s="15" t="b">
        <v>0</v>
      </c>
      <c r="U135" s="14" t="s">
        <v>72</v>
      </c>
    </row>
    <row r="136" spans="1:21" ht="13.95" customHeight="1" x14ac:dyDescent="0.3">
      <c r="A136" s="13" t="s">
        <v>85</v>
      </c>
      <c r="B136" s="13">
        <v>141</v>
      </c>
      <c r="C136" s="13">
        <v>415</v>
      </c>
      <c r="D136" s="13" t="s">
        <v>70</v>
      </c>
      <c r="E136" s="13" t="s">
        <v>70</v>
      </c>
      <c r="F136" s="13">
        <v>0</v>
      </c>
      <c r="G136" s="13">
        <v>217.1</v>
      </c>
      <c r="H136" s="13">
        <v>110</v>
      </c>
      <c r="I136" s="13">
        <v>36.909999999999997</v>
      </c>
      <c r="J136" s="13">
        <v>241.5</v>
      </c>
      <c r="K136" s="13">
        <v>111</v>
      </c>
      <c r="L136" s="13">
        <v>20.53</v>
      </c>
      <c r="M136" s="13">
        <v>253.5</v>
      </c>
      <c r="N136" s="13">
        <v>103</v>
      </c>
      <c r="O136" s="13">
        <v>11.41</v>
      </c>
      <c r="P136" s="13">
        <v>12</v>
      </c>
      <c r="Q136" s="13">
        <v>6</v>
      </c>
      <c r="R136" s="13">
        <v>3.24</v>
      </c>
      <c r="S136" s="13">
        <v>0</v>
      </c>
      <c r="T136" s="13" t="b">
        <v>0</v>
      </c>
      <c r="U136" s="14" t="s">
        <v>72</v>
      </c>
    </row>
    <row r="137" spans="1:21" ht="13.95" customHeight="1" x14ac:dyDescent="0.3">
      <c r="A137" s="15" t="s">
        <v>81</v>
      </c>
      <c r="B137" s="15">
        <v>141</v>
      </c>
      <c r="C137" s="15">
        <v>510</v>
      </c>
      <c r="D137" s="15" t="s">
        <v>70</v>
      </c>
      <c r="E137" s="15" t="s">
        <v>71</v>
      </c>
      <c r="F137" s="15">
        <v>36</v>
      </c>
      <c r="G137" s="15">
        <v>187.5</v>
      </c>
      <c r="H137" s="15">
        <v>99</v>
      </c>
      <c r="I137" s="15">
        <v>31.88</v>
      </c>
      <c r="J137" s="15">
        <v>241.4</v>
      </c>
      <c r="K137" s="15">
        <v>116</v>
      </c>
      <c r="L137" s="15">
        <v>20.52</v>
      </c>
      <c r="M137" s="15">
        <v>229.5</v>
      </c>
      <c r="N137" s="15">
        <v>105</v>
      </c>
      <c r="O137" s="15">
        <v>10.33</v>
      </c>
      <c r="P137" s="15">
        <v>10.5</v>
      </c>
      <c r="Q137" s="15">
        <v>5</v>
      </c>
      <c r="R137" s="15">
        <v>2.84</v>
      </c>
      <c r="S137" s="15">
        <v>3</v>
      </c>
      <c r="T137" s="15" t="b">
        <v>0</v>
      </c>
      <c r="U137" s="14" t="s">
        <v>72</v>
      </c>
    </row>
    <row r="138" spans="1:21" ht="13.95" customHeight="1" x14ac:dyDescent="0.3">
      <c r="A138" s="13" t="s">
        <v>117</v>
      </c>
      <c r="B138" s="13">
        <v>62</v>
      </c>
      <c r="C138" s="13">
        <v>415</v>
      </c>
      <c r="D138" s="13" t="s">
        <v>70</v>
      </c>
      <c r="E138" s="13" t="s">
        <v>70</v>
      </c>
      <c r="F138" s="13">
        <v>0</v>
      </c>
      <c r="G138" s="13">
        <v>98.9</v>
      </c>
      <c r="H138" s="13">
        <v>103</v>
      </c>
      <c r="I138" s="13">
        <v>16.809999999999999</v>
      </c>
      <c r="J138" s="13">
        <v>135.4</v>
      </c>
      <c r="K138" s="13">
        <v>122</v>
      </c>
      <c r="L138" s="13">
        <v>11.51</v>
      </c>
      <c r="M138" s="13">
        <v>236.6</v>
      </c>
      <c r="N138" s="13">
        <v>82</v>
      </c>
      <c r="O138" s="13">
        <v>10.65</v>
      </c>
      <c r="P138" s="13">
        <v>12.2</v>
      </c>
      <c r="Q138" s="13">
        <v>1</v>
      </c>
      <c r="R138" s="13">
        <v>3.29</v>
      </c>
      <c r="S138" s="13">
        <v>1</v>
      </c>
      <c r="T138" s="13" t="b">
        <v>0</v>
      </c>
      <c r="U138" s="14" t="s">
        <v>72</v>
      </c>
    </row>
    <row r="139" spans="1:21" ht="13.95" customHeight="1" x14ac:dyDescent="0.3">
      <c r="A139" s="15" t="s">
        <v>75</v>
      </c>
      <c r="B139" s="15">
        <v>146</v>
      </c>
      <c r="C139" s="15">
        <v>415</v>
      </c>
      <c r="D139" s="15" t="s">
        <v>70</v>
      </c>
      <c r="E139" s="15" t="s">
        <v>70</v>
      </c>
      <c r="F139" s="15">
        <v>0</v>
      </c>
      <c r="G139" s="15">
        <v>206.3</v>
      </c>
      <c r="H139" s="15">
        <v>151</v>
      </c>
      <c r="I139" s="15">
        <v>35.07</v>
      </c>
      <c r="J139" s="15">
        <v>148.6</v>
      </c>
      <c r="K139" s="15">
        <v>89</v>
      </c>
      <c r="L139" s="15">
        <v>12.63</v>
      </c>
      <c r="M139" s="15">
        <v>167.2</v>
      </c>
      <c r="N139" s="15">
        <v>91</v>
      </c>
      <c r="O139" s="15">
        <v>7.52</v>
      </c>
      <c r="P139" s="15">
        <v>6.1</v>
      </c>
      <c r="Q139" s="15">
        <v>3</v>
      </c>
      <c r="R139" s="15">
        <v>1.65</v>
      </c>
      <c r="S139" s="15">
        <v>1</v>
      </c>
      <c r="T139" s="15" t="b">
        <v>0</v>
      </c>
      <c r="U139" s="14" t="s">
        <v>72</v>
      </c>
    </row>
    <row r="140" spans="1:21" ht="13.95" customHeight="1" x14ac:dyDescent="0.3">
      <c r="A140" s="13" t="s">
        <v>102</v>
      </c>
      <c r="B140" s="13">
        <v>92</v>
      </c>
      <c r="C140" s="13">
        <v>415</v>
      </c>
      <c r="D140" s="13" t="s">
        <v>70</v>
      </c>
      <c r="E140" s="13" t="s">
        <v>71</v>
      </c>
      <c r="F140" s="13">
        <v>33</v>
      </c>
      <c r="G140" s="13">
        <v>243.1</v>
      </c>
      <c r="H140" s="13">
        <v>92</v>
      </c>
      <c r="I140" s="13">
        <v>41.33</v>
      </c>
      <c r="J140" s="13">
        <v>213.8</v>
      </c>
      <c r="K140" s="13">
        <v>92</v>
      </c>
      <c r="L140" s="13">
        <v>18.170000000000002</v>
      </c>
      <c r="M140" s="13">
        <v>228.7</v>
      </c>
      <c r="N140" s="13">
        <v>104</v>
      </c>
      <c r="O140" s="13">
        <v>10.29</v>
      </c>
      <c r="P140" s="13">
        <v>12.1</v>
      </c>
      <c r="Q140" s="13">
        <v>2</v>
      </c>
      <c r="R140" s="13">
        <v>3.27</v>
      </c>
      <c r="S140" s="13">
        <v>2</v>
      </c>
      <c r="T140" s="13" t="b">
        <v>0</v>
      </c>
      <c r="U140" s="14" t="s">
        <v>72</v>
      </c>
    </row>
    <row r="141" spans="1:21" ht="13.95" customHeight="1" x14ac:dyDescent="0.3">
      <c r="A141" s="15" t="s">
        <v>96</v>
      </c>
      <c r="B141" s="15">
        <v>185</v>
      </c>
      <c r="C141" s="15">
        <v>510</v>
      </c>
      <c r="D141" s="15" t="s">
        <v>70</v>
      </c>
      <c r="E141" s="15" t="s">
        <v>71</v>
      </c>
      <c r="F141" s="15">
        <v>31</v>
      </c>
      <c r="G141" s="15">
        <v>189.8</v>
      </c>
      <c r="H141" s="15">
        <v>126</v>
      </c>
      <c r="I141" s="15">
        <v>32.270000000000003</v>
      </c>
      <c r="J141" s="15">
        <v>163.30000000000001</v>
      </c>
      <c r="K141" s="15">
        <v>133</v>
      </c>
      <c r="L141" s="15">
        <v>13.88</v>
      </c>
      <c r="M141" s="15">
        <v>264.8</v>
      </c>
      <c r="N141" s="15">
        <v>126</v>
      </c>
      <c r="O141" s="15">
        <v>11.92</v>
      </c>
      <c r="P141" s="15">
        <v>7.5</v>
      </c>
      <c r="Q141" s="15">
        <v>3</v>
      </c>
      <c r="R141" s="15">
        <v>2.0299999999999998</v>
      </c>
      <c r="S141" s="15">
        <v>1</v>
      </c>
      <c r="T141" s="15" t="b">
        <v>0</v>
      </c>
      <c r="U141" s="14" t="s">
        <v>72</v>
      </c>
    </row>
    <row r="142" spans="1:21" ht="13.95" customHeight="1" x14ac:dyDescent="0.3">
      <c r="A142" s="13" t="s">
        <v>112</v>
      </c>
      <c r="B142" s="13">
        <v>148</v>
      </c>
      <c r="C142" s="13">
        <v>415</v>
      </c>
      <c r="D142" s="13" t="s">
        <v>70</v>
      </c>
      <c r="E142" s="13" t="s">
        <v>70</v>
      </c>
      <c r="F142" s="13">
        <v>0</v>
      </c>
      <c r="G142" s="13">
        <v>202</v>
      </c>
      <c r="H142" s="13">
        <v>102</v>
      </c>
      <c r="I142" s="13">
        <v>34.340000000000003</v>
      </c>
      <c r="J142" s="13">
        <v>243.2</v>
      </c>
      <c r="K142" s="13">
        <v>128</v>
      </c>
      <c r="L142" s="13">
        <v>20.67</v>
      </c>
      <c r="M142" s="13">
        <v>261.3</v>
      </c>
      <c r="N142" s="13">
        <v>90</v>
      </c>
      <c r="O142" s="13">
        <v>11.76</v>
      </c>
      <c r="P142" s="13">
        <v>10.9</v>
      </c>
      <c r="Q142" s="13">
        <v>3</v>
      </c>
      <c r="R142" s="13">
        <v>2.94</v>
      </c>
      <c r="S142" s="13">
        <v>1</v>
      </c>
      <c r="T142" s="13" t="b">
        <v>0</v>
      </c>
      <c r="U142" s="14" t="s">
        <v>72</v>
      </c>
    </row>
    <row r="143" spans="1:21" ht="13.95" customHeight="1" x14ac:dyDescent="0.3">
      <c r="A143" s="15" t="s">
        <v>90</v>
      </c>
      <c r="B143" s="15">
        <v>94</v>
      </c>
      <c r="C143" s="15">
        <v>408</v>
      </c>
      <c r="D143" s="15" t="s">
        <v>70</v>
      </c>
      <c r="E143" s="15" t="s">
        <v>71</v>
      </c>
      <c r="F143" s="15">
        <v>38</v>
      </c>
      <c r="G143" s="15">
        <v>170.1</v>
      </c>
      <c r="H143" s="15">
        <v>124</v>
      </c>
      <c r="I143" s="15">
        <v>28.92</v>
      </c>
      <c r="J143" s="15">
        <v>193.3</v>
      </c>
      <c r="K143" s="15">
        <v>116</v>
      </c>
      <c r="L143" s="15">
        <v>16.43</v>
      </c>
      <c r="M143" s="15">
        <v>105.9</v>
      </c>
      <c r="N143" s="15">
        <v>73</v>
      </c>
      <c r="O143" s="15">
        <v>4.7699999999999996</v>
      </c>
      <c r="P143" s="15">
        <v>12.8</v>
      </c>
      <c r="Q143" s="15">
        <v>4</v>
      </c>
      <c r="R143" s="15">
        <v>3.46</v>
      </c>
      <c r="S143" s="15">
        <v>1</v>
      </c>
      <c r="T143" s="15" t="b">
        <v>0</v>
      </c>
      <c r="U143" s="14" t="s">
        <v>72</v>
      </c>
    </row>
    <row r="144" spans="1:21" ht="13.95" customHeight="1" x14ac:dyDescent="0.3">
      <c r="A144" s="13" t="s">
        <v>88</v>
      </c>
      <c r="B144" s="13">
        <v>68</v>
      </c>
      <c r="C144" s="13">
        <v>408</v>
      </c>
      <c r="D144" s="13" t="s">
        <v>70</v>
      </c>
      <c r="E144" s="13" t="s">
        <v>70</v>
      </c>
      <c r="F144" s="13">
        <v>0</v>
      </c>
      <c r="G144" s="13">
        <v>237.1</v>
      </c>
      <c r="H144" s="13">
        <v>105</v>
      </c>
      <c r="I144" s="13">
        <v>40.31</v>
      </c>
      <c r="J144" s="13">
        <v>223.5</v>
      </c>
      <c r="K144" s="13">
        <v>105</v>
      </c>
      <c r="L144" s="13">
        <v>19</v>
      </c>
      <c r="M144" s="13">
        <v>97.4</v>
      </c>
      <c r="N144" s="13">
        <v>79</v>
      </c>
      <c r="O144" s="13">
        <v>4.38</v>
      </c>
      <c r="P144" s="13">
        <v>13.2</v>
      </c>
      <c r="Q144" s="13">
        <v>2</v>
      </c>
      <c r="R144" s="13">
        <v>3.56</v>
      </c>
      <c r="S144" s="13">
        <v>1</v>
      </c>
      <c r="T144" s="13" t="b">
        <v>0</v>
      </c>
      <c r="U144" s="14" t="s">
        <v>72</v>
      </c>
    </row>
    <row r="145" spans="1:21" ht="13.95" customHeight="1" x14ac:dyDescent="0.3">
      <c r="A145" s="15" t="s">
        <v>95</v>
      </c>
      <c r="B145" s="15">
        <v>179</v>
      </c>
      <c r="C145" s="15">
        <v>408</v>
      </c>
      <c r="D145" s="15" t="s">
        <v>70</v>
      </c>
      <c r="E145" s="15" t="s">
        <v>70</v>
      </c>
      <c r="F145" s="15">
        <v>0</v>
      </c>
      <c r="G145" s="15">
        <v>219.2</v>
      </c>
      <c r="H145" s="15">
        <v>92</v>
      </c>
      <c r="I145" s="15">
        <v>37.26</v>
      </c>
      <c r="J145" s="15">
        <v>149.4</v>
      </c>
      <c r="K145" s="15">
        <v>125</v>
      </c>
      <c r="L145" s="15">
        <v>12.7</v>
      </c>
      <c r="M145" s="15">
        <v>244.7</v>
      </c>
      <c r="N145" s="15">
        <v>104</v>
      </c>
      <c r="O145" s="15">
        <v>11.01</v>
      </c>
      <c r="P145" s="15">
        <v>6.1</v>
      </c>
      <c r="Q145" s="15">
        <v>5</v>
      </c>
      <c r="R145" s="15">
        <v>1.65</v>
      </c>
      <c r="S145" s="15">
        <v>0</v>
      </c>
      <c r="T145" s="15" t="b">
        <v>0</v>
      </c>
      <c r="U145" s="14" t="s">
        <v>72</v>
      </c>
    </row>
    <row r="146" spans="1:21" ht="13.95" customHeight="1" x14ac:dyDescent="0.3">
      <c r="A146" s="13" t="s">
        <v>91</v>
      </c>
      <c r="B146" s="13">
        <v>94</v>
      </c>
      <c r="C146" s="13">
        <v>415</v>
      </c>
      <c r="D146" s="13" t="s">
        <v>70</v>
      </c>
      <c r="E146" s="13" t="s">
        <v>70</v>
      </c>
      <c r="F146" s="13">
        <v>0</v>
      </c>
      <c r="G146" s="13">
        <v>252.6</v>
      </c>
      <c r="H146" s="13">
        <v>104</v>
      </c>
      <c r="I146" s="13">
        <v>42.94</v>
      </c>
      <c r="J146" s="13">
        <v>169</v>
      </c>
      <c r="K146" s="13">
        <v>125</v>
      </c>
      <c r="L146" s="13">
        <v>14.37</v>
      </c>
      <c r="M146" s="13">
        <v>170.9</v>
      </c>
      <c r="N146" s="13">
        <v>106</v>
      </c>
      <c r="O146" s="13">
        <v>7.69</v>
      </c>
      <c r="P146" s="13">
        <v>11.1</v>
      </c>
      <c r="Q146" s="13">
        <v>7</v>
      </c>
      <c r="R146" s="13">
        <v>3</v>
      </c>
      <c r="S146" s="13">
        <v>2</v>
      </c>
      <c r="T146" s="13" t="b">
        <v>0</v>
      </c>
      <c r="U146" s="14" t="s">
        <v>72</v>
      </c>
    </row>
    <row r="147" spans="1:21" ht="13.95" customHeight="1" x14ac:dyDescent="0.3">
      <c r="A147" s="15" t="s">
        <v>109</v>
      </c>
      <c r="B147" s="15">
        <v>62</v>
      </c>
      <c r="C147" s="15">
        <v>415</v>
      </c>
      <c r="D147" s="15" t="s">
        <v>70</v>
      </c>
      <c r="E147" s="15" t="s">
        <v>70</v>
      </c>
      <c r="F147" s="15">
        <v>0</v>
      </c>
      <c r="G147" s="15">
        <v>147.1</v>
      </c>
      <c r="H147" s="15">
        <v>91</v>
      </c>
      <c r="I147" s="15">
        <v>25.01</v>
      </c>
      <c r="J147" s="15">
        <v>190.4</v>
      </c>
      <c r="K147" s="15">
        <v>107</v>
      </c>
      <c r="L147" s="15">
        <v>16.18</v>
      </c>
      <c r="M147" s="15">
        <v>195.2</v>
      </c>
      <c r="N147" s="15">
        <v>115</v>
      </c>
      <c r="O147" s="15">
        <v>8.7799999999999994</v>
      </c>
      <c r="P147" s="15">
        <v>12.2</v>
      </c>
      <c r="Q147" s="15">
        <v>3</v>
      </c>
      <c r="R147" s="15">
        <v>3.29</v>
      </c>
      <c r="S147" s="15">
        <v>0</v>
      </c>
      <c r="T147" s="15" t="b">
        <v>0</v>
      </c>
      <c r="U147" s="14" t="s">
        <v>72</v>
      </c>
    </row>
    <row r="148" spans="1:21" ht="13.95" customHeight="1" x14ac:dyDescent="0.3">
      <c r="A148" s="13" t="s">
        <v>99</v>
      </c>
      <c r="B148" s="13">
        <v>116</v>
      </c>
      <c r="C148" s="13">
        <v>408</v>
      </c>
      <c r="D148" s="13" t="s">
        <v>70</v>
      </c>
      <c r="E148" s="13" t="s">
        <v>70</v>
      </c>
      <c r="F148" s="13">
        <v>0</v>
      </c>
      <c r="G148" s="13">
        <v>173.5</v>
      </c>
      <c r="H148" s="13">
        <v>93</v>
      </c>
      <c r="I148" s="13">
        <v>29.5</v>
      </c>
      <c r="J148" s="13">
        <v>194.1</v>
      </c>
      <c r="K148" s="13">
        <v>76</v>
      </c>
      <c r="L148" s="13">
        <v>16.5</v>
      </c>
      <c r="M148" s="13">
        <v>208</v>
      </c>
      <c r="N148" s="13">
        <v>112</v>
      </c>
      <c r="O148" s="13">
        <v>9.36</v>
      </c>
      <c r="P148" s="13">
        <v>16.2</v>
      </c>
      <c r="Q148" s="13">
        <v>10</v>
      </c>
      <c r="R148" s="13">
        <v>4.37</v>
      </c>
      <c r="S148" s="13">
        <v>3</v>
      </c>
      <c r="T148" s="13" t="b">
        <v>0</v>
      </c>
      <c r="U148" s="14" t="s">
        <v>72</v>
      </c>
    </row>
    <row r="149" spans="1:21" ht="13.95" customHeight="1" x14ac:dyDescent="0.3">
      <c r="A149" s="15" t="s">
        <v>69</v>
      </c>
      <c r="B149" s="15">
        <v>70</v>
      </c>
      <c r="C149" s="15">
        <v>408</v>
      </c>
      <c r="D149" s="15" t="s">
        <v>70</v>
      </c>
      <c r="E149" s="15" t="s">
        <v>70</v>
      </c>
      <c r="F149" s="15">
        <v>0</v>
      </c>
      <c r="G149" s="15">
        <v>232.1</v>
      </c>
      <c r="H149" s="15">
        <v>122</v>
      </c>
      <c r="I149" s="15">
        <v>39.46</v>
      </c>
      <c r="J149" s="15">
        <v>292.3</v>
      </c>
      <c r="K149" s="15">
        <v>112</v>
      </c>
      <c r="L149" s="15">
        <v>24.85</v>
      </c>
      <c r="M149" s="15">
        <v>201.2</v>
      </c>
      <c r="N149" s="15">
        <v>112</v>
      </c>
      <c r="O149" s="15">
        <v>9.0500000000000007</v>
      </c>
      <c r="P149" s="15">
        <v>0</v>
      </c>
      <c r="Q149" s="15">
        <v>0</v>
      </c>
      <c r="R149" s="15">
        <v>0</v>
      </c>
      <c r="S149" s="15">
        <v>3</v>
      </c>
      <c r="T149" s="15" t="b">
        <v>0</v>
      </c>
      <c r="U149" s="14" t="s">
        <v>72</v>
      </c>
    </row>
    <row r="150" spans="1:21" ht="13.95" customHeight="1" x14ac:dyDescent="0.3">
      <c r="A150" s="13" t="s">
        <v>79</v>
      </c>
      <c r="B150" s="13">
        <v>94</v>
      </c>
      <c r="C150" s="13">
        <v>510</v>
      </c>
      <c r="D150" s="13" t="s">
        <v>71</v>
      </c>
      <c r="E150" s="13" t="s">
        <v>71</v>
      </c>
      <c r="F150" s="13">
        <v>23</v>
      </c>
      <c r="G150" s="13">
        <v>197.1</v>
      </c>
      <c r="H150" s="13">
        <v>125</v>
      </c>
      <c r="I150" s="13">
        <v>33.51</v>
      </c>
      <c r="J150" s="13">
        <v>214.5</v>
      </c>
      <c r="K150" s="13">
        <v>136</v>
      </c>
      <c r="L150" s="13">
        <v>18.23</v>
      </c>
      <c r="M150" s="13">
        <v>282.2</v>
      </c>
      <c r="N150" s="13">
        <v>103</v>
      </c>
      <c r="O150" s="13">
        <v>12.7</v>
      </c>
      <c r="P150" s="13">
        <v>9.5</v>
      </c>
      <c r="Q150" s="13">
        <v>5</v>
      </c>
      <c r="R150" s="13">
        <v>2.57</v>
      </c>
      <c r="S150" s="13">
        <v>4</v>
      </c>
      <c r="T150" s="13" t="b">
        <v>0</v>
      </c>
      <c r="U150" s="14" t="s">
        <v>72</v>
      </c>
    </row>
    <row r="151" spans="1:21" ht="13.95" customHeight="1" x14ac:dyDescent="0.3">
      <c r="A151" s="15" t="s">
        <v>97</v>
      </c>
      <c r="B151" s="15">
        <v>126</v>
      </c>
      <c r="C151" s="15">
        <v>415</v>
      </c>
      <c r="D151" s="15" t="s">
        <v>70</v>
      </c>
      <c r="E151" s="15" t="s">
        <v>70</v>
      </c>
      <c r="F151" s="15">
        <v>0</v>
      </c>
      <c r="G151" s="15">
        <v>58.2</v>
      </c>
      <c r="H151" s="15">
        <v>94</v>
      </c>
      <c r="I151" s="15">
        <v>9.89</v>
      </c>
      <c r="J151" s="15">
        <v>138.69999999999999</v>
      </c>
      <c r="K151" s="15">
        <v>118</v>
      </c>
      <c r="L151" s="15">
        <v>11.79</v>
      </c>
      <c r="M151" s="15">
        <v>136.80000000000001</v>
      </c>
      <c r="N151" s="15">
        <v>91</v>
      </c>
      <c r="O151" s="15">
        <v>6.16</v>
      </c>
      <c r="P151" s="15">
        <v>11.9</v>
      </c>
      <c r="Q151" s="15">
        <v>1</v>
      </c>
      <c r="R151" s="15">
        <v>3.21</v>
      </c>
      <c r="S151" s="15">
        <v>5</v>
      </c>
      <c r="T151" s="15" t="b">
        <v>1</v>
      </c>
      <c r="U151" s="16" t="s">
        <v>89</v>
      </c>
    </row>
    <row r="152" spans="1:21" ht="13.95" customHeight="1" x14ac:dyDescent="0.3">
      <c r="A152" s="13" t="s">
        <v>113</v>
      </c>
      <c r="B152" s="13">
        <v>67</v>
      </c>
      <c r="C152" s="13">
        <v>408</v>
      </c>
      <c r="D152" s="13" t="s">
        <v>70</v>
      </c>
      <c r="E152" s="13" t="s">
        <v>71</v>
      </c>
      <c r="F152" s="13">
        <v>36</v>
      </c>
      <c r="G152" s="13">
        <v>115.6</v>
      </c>
      <c r="H152" s="13">
        <v>111</v>
      </c>
      <c r="I152" s="13">
        <v>19.649999999999999</v>
      </c>
      <c r="J152" s="13">
        <v>237.7</v>
      </c>
      <c r="K152" s="13">
        <v>94</v>
      </c>
      <c r="L152" s="13">
        <v>20.2</v>
      </c>
      <c r="M152" s="13">
        <v>169.9</v>
      </c>
      <c r="N152" s="13">
        <v>103</v>
      </c>
      <c r="O152" s="13">
        <v>7.65</v>
      </c>
      <c r="P152" s="13">
        <v>9.9</v>
      </c>
      <c r="Q152" s="13">
        <v>12</v>
      </c>
      <c r="R152" s="13">
        <v>2.67</v>
      </c>
      <c r="S152" s="13">
        <v>2</v>
      </c>
      <c r="T152" s="13" t="b">
        <v>0</v>
      </c>
      <c r="U152" s="14" t="s">
        <v>72</v>
      </c>
    </row>
    <row r="153" spans="1:21" ht="13.95" customHeight="1" x14ac:dyDescent="0.3">
      <c r="A153" s="15" t="s">
        <v>94</v>
      </c>
      <c r="B153" s="15">
        <v>19</v>
      </c>
      <c r="C153" s="15">
        <v>408</v>
      </c>
      <c r="D153" s="15" t="s">
        <v>70</v>
      </c>
      <c r="E153" s="15" t="s">
        <v>70</v>
      </c>
      <c r="F153" s="15">
        <v>0</v>
      </c>
      <c r="G153" s="15">
        <v>186.1</v>
      </c>
      <c r="H153" s="15">
        <v>98</v>
      </c>
      <c r="I153" s="15">
        <v>31.64</v>
      </c>
      <c r="J153" s="15">
        <v>254.3</v>
      </c>
      <c r="K153" s="15">
        <v>57</v>
      </c>
      <c r="L153" s="15">
        <v>21.62</v>
      </c>
      <c r="M153" s="15">
        <v>214</v>
      </c>
      <c r="N153" s="15">
        <v>127</v>
      </c>
      <c r="O153" s="15">
        <v>9.6300000000000008</v>
      </c>
      <c r="P153" s="15">
        <v>14.6</v>
      </c>
      <c r="Q153" s="15">
        <v>7</v>
      </c>
      <c r="R153" s="15">
        <v>3.94</v>
      </c>
      <c r="S153" s="15">
        <v>2</v>
      </c>
      <c r="T153" s="15" t="b">
        <v>0</v>
      </c>
      <c r="U153" s="14" t="s">
        <v>72</v>
      </c>
    </row>
    <row r="154" spans="1:21" ht="13.95" customHeight="1" x14ac:dyDescent="0.3">
      <c r="A154" s="13" t="s">
        <v>85</v>
      </c>
      <c r="B154" s="13">
        <v>170</v>
      </c>
      <c r="C154" s="13">
        <v>510</v>
      </c>
      <c r="D154" s="13" t="s">
        <v>71</v>
      </c>
      <c r="E154" s="13" t="s">
        <v>70</v>
      </c>
      <c r="F154" s="13">
        <v>0</v>
      </c>
      <c r="G154" s="13">
        <v>259.89999999999998</v>
      </c>
      <c r="H154" s="13">
        <v>68</v>
      </c>
      <c r="I154" s="13">
        <v>44.18</v>
      </c>
      <c r="J154" s="13">
        <v>245</v>
      </c>
      <c r="K154" s="13">
        <v>122</v>
      </c>
      <c r="L154" s="13">
        <v>20.83</v>
      </c>
      <c r="M154" s="13">
        <v>134.4</v>
      </c>
      <c r="N154" s="13">
        <v>121</v>
      </c>
      <c r="O154" s="13">
        <v>6.05</v>
      </c>
      <c r="P154" s="13">
        <v>8.4</v>
      </c>
      <c r="Q154" s="13">
        <v>3</v>
      </c>
      <c r="R154" s="13">
        <v>2.27</v>
      </c>
      <c r="S154" s="13">
        <v>3</v>
      </c>
      <c r="T154" s="13" t="b">
        <v>0</v>
      </c>
      <c r="U154" s="14" t="s">
        <v>72</v>
      </c>
    </row>
    <row r="155" spans="1:21" ht="13.95" customHeight="1" x14ac:dyDescent="0.3">
      <c r="A155" s="15" t="s">
        <v>110</v>
      </c>
      <c r="B155" s="15">
        <v>73</v>
      </c>
      <c r="C155" s="15">
        <v>415</v>
      </c>
      <c r="D155" s="15" t="s">
        <v>70</v>
      </c>
      <c r="E155" s="15" t="s">
        <v>70</v>
      </c>
      <c r="F155" s="15">
        <v>0</v>
      </c>
      <c r="G155" s="15">
        <v>214.3</v>
      </c>
      <c r="H155" s="15">
        <v>145</v>
      </c>
      <c r="I155" s="15">
        <v>36.43</v>
      </c>
      <c r="J155" s="15">
        <v>268.5</v>
      </c>
      <c r="K155" s="15">
        <v>135</v>
      </c>
      <c r="L155" s="15">
        <v>22.82</v>
      </c>
      <c r="M155" s="15">
        <v>241.2</v>
      </c>
      <c r="N155" s="15">
        <v>92</v>
      </c>
      <c r="O155" s="15">
        <v>10.85</v>
      </c>
      <c r="P155" s="15">
        <v>10.8</v>
      </c>
      <c r="Q155" s="15">
        <v>13</v>
      </c>
      <c r="R155" s="15">
        <v>2.92</v>
      </c>
      <c r="S155" s="15">
        <v>1</v>
      </c>
      <c r="T155" s="15" t="b">
        <v>0</v>
      </c>
      <c r="U155" s="14" t="s">
        <v>72</v>
      </c>
    </row>
    <row r="156" spans="1:21" ht="13.95" customHeight="1" x14ac:dyDescent="0.3">
      <c r="A156" s="13" t="s">
        <v>113</v>
      </c>
      <c r="B156" s="13">
        <v>106</v>
      </c>
      <c r="C156" s="13">
        <v>408</v>
      </c>
      <c r="D156" s="13" t="s">
        <v>70</v>
      </c>
      <c r="E156" s="13" t="s">
        <v>70</v>
      </c>
      <c r="F156" s="13">
        <v>0</v>
      </c>
      <c r="G156" s="13">
        <v>158.69999999999999</v>
      </c>
      <c r="H156" s="13">
        <v>74</v>
      </c>
      <c r="I156" s="13">
        <v>26.98</v>
      </c>
      <c r="J156" s="13">
        <v>64.3</v>
      </c>
      <c r="K156" s="13">
        <v>139</v>
      </c>
      <c r="L156" s="13">
        <v>5.47</v>
      </c>
      <c r="M156" s="13">
        <v>198.5</v>
      </c>
      <c r="N156" s="13">
        <v>103</v>
      </c>
      <c r="O156" s="13">
        <v>8.93</v>
      </c>
      <c r="P156" s="13">
        <v>10.199999999999999</v>
      </c>
      <c r="Q156" s="13">
        <v>4</v>
      </c>
      <c r="R156" s="13">
        <v>2.75</v>
      </c>
      <c r="S156" s="13">
        <v>1</v>
      </c>
      <c r="T156" s="13" t="b">
        <v>0</v>
      </c>
      <c r="U156" s="14" t="s">
        <v>72</v>
      </c>
    </row>
    <row r="157" spans="1:21" ht="13.95" customHeight="1" x14ac:dyDescent="0.3">
      <c r="A157" s="15" t="s">
        <v>92</v>
      </c>
      <c r="B157" s="15">
        <v>164</v>
      </c>
      <c r="C157" s="15">
        <v>510</v>
      </c>
      <c r="D157" s="15" t="s">
        <v>70</v>
      </c>
      <c r="E157" s="15" t="s">
        <v>70</v>
      </c>
      <c r="F157" s="15">
        <v>0</v>
      </c>
      <c r="G157" s="15">
        <v>160.6</v>
      </c>
      <c r="H157" s="15">
        <v>111</v>
      </c>
      <c r="I157" s="15">
        <v>27.3</v>
      </c>
      <c r="J157" s="15">
        <v>163.19999999999999</v>
      </c>
      <c r="K157" s="15">
        <v>126</v>
      </c>
      <c r="L157" s="15">
        <v>13.87</v>
      </c>
      <c r="M157" s="15">
        <v>187.1</v>
      </c>
      <c r="N157" s="15">
        <v>112</v>
      </c>
      <c r="O157" s="15">
        <v>8.42</v>
      </c>
      <c r="P157" s="15">
        <v>9</v>
      </c>
      <c r="Q157" s="15">
        <v>3</v>
      </c>
      <c r="R157" s="15">
        <v>2.4300000000000002</v>
      </c>
      <c r="S157" s="15">
        <v>1</v>
      </c>
      <c r="T157" s="15" t="b">
        <v>0</v>
      </c>
      <c r="U157" s="14" t="s">
        <v>72</v>
      </c>
    </row>
    <row r="158" spans="1:21" ht="13.95" customHeight="1" x14ac:dyDescent="0.3">
      <c r="A158" s="13" t="s">
        <v>108</v>
      </c>
      <c r="B158" s="13">
        <v>51</v>
      </c>
      <c r="C158" s="13">
        <v>408</v>
      </c>
      <c r="D158" s="13" t="s">
        <v>70</v>
      </c>
      <c r="E158" s="13" t="s">
        <v>70</v>
      </c>
      <c r="F158" s="13">
        <v>0</v>
      </c>
      <c r="G158" s="13">
        <v>232.4</v>
      </c>
      <c r="H158" s="13">
        <v>109</v>
      </c>
      <c r="I158" s="13">
        <v>39.51</v>
      </c>
      <c r="J158" s="13">
        <v>187.4</v>
      </c>
      <c r="K158" s="13">
        <v>95</v>
      </c>
      <c r="L158" s="13">
        <v>15.93</v>
      </c>
      <c r="M158" s="13">
        <v>231.2</v>
      </c>
      <c r="N158" s="13">
        <v>107</v>
      </c>
      <c r="O158" s="13">
        <v>10.4</v>
      </c>
      <c r="P158" s="13">
        <v>9.1</v>
      </c>
      <c r="Q158" s="13">
        <v>3</v>
      </c>
      <c r="R158" s="13">
        <v>2.46</v>
      </c>
      <c r="S158" s="13">
        <v>1</v>
      </c>
      <c r="T158" s="13" t="b">
        <v>0</v>
      </c>
      <c r="U158" s="14" t="s">
        <v>72</v>
      </c>
    </row>
    <row r="159" spans="1:21" ht="13.95" customHeight="1" x14ac:dyDescent="0.3">
      <c r="A159" s="15" t="s">
        <v>88</v>
      </c>
      <c r="B159" s="15">
        <v>107</v>
      </c>
      <c r="C159" s="15">
        <v>415</v>
      </c>
      <c r="D159" s="15" t="s">
        <v>70</v>
      </c>
      <c r="E159" s="15" t="s">
        <v>70</v>
      </c>
      <c r="F159" s="15">
        <v>0</v>
      </c>
      <c r="G159" s="15">
        <v>133.80000000000001</v>
      </c>
      <c r="H159" s="15">
        <v>85</v>
      </c>
      <c r="I159" s="15">
        <v>22.75</v>
      </c>
      <c r="J159" s="15">
        <v>180.5</v>
      </c>
      <c r="K159" s="15">
        <v>94</v>
      </c>
      <c r="L159" s="15">
        <v>15.34</v>
      </c>
      <c r="M159" s="15">
        <v>112.2</v>
      </c>
      <c r="N159" s="15">
        <v>115</v>
      </c>
      <c r="O159" s="15">
        <v>5.05</v>
      </c>
      <c r="P159" s="15">
        <v>8.9</v>
      </c>
      <c r="Q159" s="15">
        <v>4</v>
      </c>
      <c r="R159" s="15">
        <v>2.4</v>
      </c>
      <c r="S159" s="15">
        <v>0</v>
      </c>
      <c r="T159" s="15" t="b">
        <v>0</v>
      </c>
      <c r="U159" s="14" t="s">
        <v>72</v>
      </c>
    </row>
    <row r="160" spans="1:21" ht="13.95" customHeight="1" x14ac:dyDescent="0.3">
      <c r="A160" s="13" t="s">
        <v>86</v>
      </c>
      <c r="B160" s="13">
        <v>130</v>
      </c>
      <c r="C160" s="13">
        <v>415</v>
      </c>
      <c r="D160" s="13" t="s">
        <v>70</v>
      </c>
      <c r="E160" s="13" t="s">
        <v>70</v>
      </c>
      <c r="F160" s="13">
        <v>0</v>
      </c>
      <c r="G160" s="13">
        <v>176.9</v>
      </c>
      <c r="H160" s="13">
        <v>109</v>
      </c>
      <c r="I160" s="13">
        <v>30.07</v>
      </c>
      <c r="J160" s="13">
        <v>90.7</v>
      </c>
      <c r="K160" s="13">
        <v>104</v>
      </c>
      <c r="L160" s="13">
        <v>7.71</v>
      </c>
      <c r="M160" s="13">
        <v>238</v>
      </c>
      <c r="N160" s="13">
        <v>69</v>
      </c>
      <c r="O160" s="13">
        <v>10.71</v>
      </c>
      <c r="P160" s="13">
        <v>9.5</v>
      </c>
      <c r="Q160" s="13">
        <v>2</v>
      </c>
      <c r="R160" s="13">
        <v>2.57</v>
      </c>
      <c r="S160" s="13">
        <v>1</v>
      </c>
      <c r="T160" s="13" t="b">
        <v>0</v>
      </c>
      <c r="U160" s="14" t="s">
        <v>72</v>
      </c>
    </row>
    <row r="161" spans="1:21" ht="13.95" customHeight="1" x14ac:dyDescent="0.3">
      <c r="A161" s="15" t="s">
        <v>114</v>
      </c>
      <c r="B161" s="15">
        <v>80</v>
      </c>
      <c r="C161" s="15">
        <v>408</v>
      </c>
      <c r="D161" s="15" t="s">
        <v>70</v>
      </c>
      <c r="E161" s="15" t="s">
        <v>70</v>
      </c>
      <c r="F161" s="15">
        <v>0</v>
      </c>
      <c r="G161" s="15">
        <v>209.9</v>
      </c>
      <c r="H161" s="15">
        <v>74</v>
      </c>
      <c r="I161" s="15">
        <v>35.68</v>
      </c>
      <c r="J161" s="15">
        <v>195.1</v>
      </c>
      <c r="K161" s="15">
        <v>77</v>
      </c>
      <c r="L161" s="15">
        <v>16.579999999999998</v>
      </c>
      <c r="M161" s="15">
        <v>208.2</v>
      </c>
      <c r="N161" s="15">
        <v>119</v>
      </c>
      <c r="O161" s="15">
        <v>9.3699999999999992</v>
      </c>
      <c r="P161" s="15">
        <v>8.8000000000000007</v>
      </c>
      <c r="Q161" s="15">
        <v>4</v>
      </c>
      <c r="R161" s="15">
        <v>2.38</v>
      </c>
      <c r="S161" s="15">
        <v>2</v>
      </c>
      <c r="T161" s="15" t="b">
        <v>0</v>
      </c>
      <c r="U161" s="14" t="s">
        <v>72</v>
      </c>
    </row>
    <row r="162" spans="1:21" ht="13.95" customHeight="1" x14ac:dyDescent="0.3">
      <c r="A162" s="13" t="s">
        <v>82</v>
      </c>
      <c r="B162" s="13">
        <v>94</v>
      </c>
      <c r="C162" s="13">
        <v>415</v>
      </c>
      <c r="D162" s="13" t="s">
        <v>70</v>
      </c>
      <c r="E162" s="13" t="s">
        <v>70</v>
      </c>
      <c r="F162" s="13">
        <v>0</v>
      </c>
      <c r="G162" s="13">
        <v>137.5</v>
      </c>
      <c r="H162" s="13">
        <v>118</v>
      </c>
      <c r="I162" s="13">
        <v>23.38</v>
      </c>
      <c r="J162" s="13">
        <v>203.2</v>
      </c>
      <c r="K162" s="13">
        <v>88</v>
      </c>
      <c r="L162" s="13">
        <v>17.27</v>
      </c>
      <c r="M162" s="13">
        <v>150</v>
      </c>
      <c r="N162" s="13">
        <v>131</v>
      </c>
      <c r="O162" s="13">
        <v>6.75</v>
      </c>
      <c r="P162" s="13">
        <v>13.4</v>
      </c>
      <c r="Q162" s="13">
        <v>2</v>
      </c>
      <c r="R162" s="13">
        <v>3.62</v>
      </c>
      <c r="S162" s="13">
        <v>0</v>
      </c>
      <c r="T162" s="13" t="b">
        <v>0</v>
      </c>
      <c r="U162" s="14" t="s">
        <v>72</v>
      </c>
    </row>
    <row r="163" spans="1:21" ht="13.95" customHeight="1" x14ac:dyDescent="0.3">
      <c r="A163" s="15" t="s">
        <v>75</v>
      </c>
      <c r="B163" s="15">
        <v>118</v>
      </c>
      <c r="C163" s="15">
        <v>408</v>
      </c>
      <c r="D163" s="15" t="s">
        <v>70</v>
      </c>
      <c r="E163" s="15" t="s">
        <v>71</v>
      </c>
      <c r="F163" s="15">
        <v>23</v>
      </c>
      <c r="G163" s="15">
        <v>289.5</v>
      </c>
      <c r="H163" s="15">
        <v>52</v>
      </c>
      <c r="I163" s="15">
        <v>49.22</v>
      </c>
      <c r="J163" s="15">
        <v>166.6</v>
      </c>
      <c r="K163" s="15">
        <v>111</v>
      </c>
      <c r="L163" s="15">
        <v>14.16</v>
      </c>
      <c r="M163" s="15">
        <v>119.1</v>
      </c>
      <c r="N163" s="15">
        <v>88</v>
      </c>
      <c r="O163" s="15">
        <v>5.36</v>
      </c>
      <c r="P163" s="15">
        <v>9.5</v>
      </c>
      <c r="Q163" s="15">
        <v>4</v>
      </c>
      <c r="R163" s="15">
        <v>2.57</v>
      </c>
      <c r="S163" s="15">
        <v>1</v>
      </c>
      <c r="T163" s="15" t="b">
        <v>0</v>
      </c>
      <c r="U163" s="14" t="s">
        <v>72</v>
      </c>
    </row>
    <row r="164" spans="1:21" ht="13.95" customHeight="1" x14ac:dyDescent="0.3">
      <c r="A164" s="13" t="s">
        <v>98</v>
      </c>
      <c r="B164" s="13">
        <v>117</v>
      </c>
      <c r="C164" s="13">
        <v>415</v>
      </c>
      <c r="D164" s="13" t="s">
        <v>70</v>
      </c>
      <c r="E164" s="13" t="s">
        <v>71</v>
      </c>
      <c r="F164" s="13">
        <v>23</v>
      </c>
      <c r="G164" s="13">
        <v>198.1</v>
      </c>
      <c r="H164" s="13">
        <v>86</v>
      </c>
      <c r="I164" s="13">
        <v>33.68</v>
      </c>
      <c r="J164" s="13">
        <v>177</v>
      </c>
      <c r="K164" s="13">
        <v>86</v>
      </c>
      <c r="L164" s="13">
        <v>15.05</v>
      </c>
      <c r="M164" s="13">
        <v>180.5</v>
      </c>
      <c r="N164" s="13">
        <v>92</v>
      </c>
      <c r="O164" s="13">
        <v>8.1199999999999992</v>
      </c>
      <c r="P164" s="13">
        <v>6.8</v>
      </c>
      <c r="Q164" s="13">
        <v>6</v>
      </c>
      <c r="R164" s="13">
        <v>1.84</v>
      </c>
      <c r="S164" s="13">
        <v>1</v>
      </c>
      <c r="T164" s="13" t="b">
        <v>0</v>
      </c>
      <c r="U164" s="14" t="s">
        <v>72</v>
      </c>
    </row>
    <row r="165" spans="1:21" ht="13.95" customHeight="1" x14ac:dyDescent="0.3">
      <c r="A165" s="15" t="s">
        <v>119</v>
      </c>
      <c r="B165" s="15">
        <v>78</v>
      </c>
      <c r="C165" s="15">
        <v>415</v>
      </c>
      <c r="D165" s="15" t="s">
        <v>70</v>
      </c>
      <c r="E165" s="15" t="s">
        <v>70</v>
      </c>
      <c r="F165" s="15">
        <v>0</v>
      </c>
      <c r="G165" s="15">
        <v>149.69999999999999</v>
      </c>
      <c r="H165" s="15">
        <v>119</v>
      </c>
      <c r="I165" s="15">
        <v>25.45</v>
      </c>
      <c r="J165" s="15">
        <v>182.2</v>
      </c>
      <c r="K165" s="15">
        <v>115</v>
      </c>
      <c r="L165" s="15">
        <v>15.49</v>
      </c>
      <c r="M165" s="15">
        <v>261.5</v>
      </c>
      <c r="N165" s="15">
        <v>126</v>
      </c>
      <c r="O165" s="15">
        <v>11.77</v>
      </c>
      <c r="P165" s="15">
        <v>9.6999999999999993</v>
      </c>
      <c r="Q165" s="15">
        <v>8</v>
      </c>
      <c r="R165" s="15">
        <v>2.62</v>
      </c>
      <c r="S165" s="15">
        <v>0</v>
      </c>
      <c r="T165" s="15" t="b">
        <v>0</v>
      </c>
      <c r="U165" s="14" t="s">
        <v>72</v>
      </c>
    </row>
    <row r="166" spans="1:21" ht="13.95" customHeight="1" x14ac:dyDescent="0.3">
      <c r="A166" s="13" t="s">
        <v>115</v>
      </c>
      <c r="B166" s="13">
        <v>131</v>
      </c>
      <c r="C166" s="13">
        <v>510</v>
      </c>
      <c r="D166" s="13" t="s">
        <v>71</v>
      </c>
      <c r="E166" s="13" t="s">
        <v>71</v>
      </c>
      <c r="F166" s="13">
        <v>26</v>
      </c>
      <c r="G166" s="13">
        <v>292.89999999999998</v>
      </c>
      <c r="H166" s="13">
        <v>101</v>
      </c>
      <c r="I166" s="13">
        <v>49.79</v>
      </c>
      <c r="J166" s="13">
        <v>199.7</v>
      </c>
      <c r="K166" s="13">
        <v>97</v>
      </c>
      <c r="L166" s="13">
        <v>16.97</v>
      </c>
      <c r="M166" s="13">
        <v>255.3</v>
      </c>
      <c r="N166" s="13">
        <v>127</v>
      </c>
      <c r="O166" s="13">
        <v>11.49</v>
      </c>
      <c r="P166" s="13">
        <v>13.8</v>
      </c>
      <c r="Q166" s="13">
        <v>7</v>
      </c>
      <c r="R166" s="13">
        <v>3.73</v>
      </c>
      <c r="S166" s="13">
        <v>4</v>
      </c>
      <c r="T166" s="13" t="b">
        <v>1</v>
      </c>
      <c r="U166" s="16" t="s">
        <v>89</v>
      </c>
    </row>
    <row r="167" spans="1:21" ht="13.95" customHeight="1" x14ac:dyDescent="0.3">
      <c r="A167" s="15" t="s">
        <v>112</v>
      </c>
      <c r="B167" s="15">
        <v>63</v>
      </c>
      <c r="C167" s="15">
        <v>408</v>
      </c>
      <c r="D167" s="15" t="s">
        <v>70</v>
      </c>
      <c r="E167" s="15" t="s">
        <v>70</v>
      </c>
      <c r="F167" s="15">
        <v>0</v>
      </c>
      <c r="G167" s="15">
        <v>83</v>
      </c>
      <c r="H167" s="15">
        <v>64</v>
      </c>
      <c r="I167" s="15">
        <v>14.11</v>
      </c>
      <c r="J167" s="15">
        <v>177</v>
      </c>
      <c r="K167" s="15">
        <v>106</v>
      </c>
      <c r="L167" s="15">
        <v>15.05</v>
      </c>
      <c r="M167" s="15">
        <v>245.7</v>
      </c>
      <c r="N167" s="15">
        <v>89</v>
      </c>
      <c r="O167" s="15">
        <v>11.06</v>
      </c>
      <c r="P167" s="15">
        <v>13</v>
      </c>
      <c r="Q167" s="15">
        <v>3</v>
      </c>
      <c r="R167" s="15">
        <v>3.51</v>
      </c>
      <c r="S167" s="15">
        <v>0</v>
      </c>
      <c r="T167" s="15" t="b">
        <v>0</v>
      </c>
      <c r="U167" s="14" t="s">
        <v>72</v>
      </c>
    </row>
    <row r="168" spans="1:21" ht="13.95" customHeight="1" x14ac:dyDescent="0.3">
      <c r="A168" s="13" t="s">
        <v>109</v>
      </c>
      <c r="B168" s="13">
        <v>53</v>
      </c>
      <c r="C168" s="13">
        <v>415</v>
      </c>
      <c r="D168" s="13" t="s">
        <v>70</v>
      </c>
      <c r="E168" s="13" t="s">
        <v>71</v>
      </c>
      <c r="F168" s="13">
        <v>24</v>
      </c>
      <c r="G168" s="13">
        <v>145.69999999999999</v>
      </c>
      <c r="H168" s="13">
        <v>146</v>
      </c>
      <c r="I168" s="13">
        <v>24.77</v>
      </c>
      <c r="J168" s="13">
        <v>220.5</v>
      </c>
      <c r="K168" s="13">
        <v>136</v>
      </c>
      <c r="L168" s="13">
        <v>18.739999999999998</v>
      </c>
      <c r="M168" s="13">
        <v>249.9</v>
      </c>
      <c r="N168" s="13">
        <v>96</v>
      </c>
      <c r="O168" s="13">
        <v>11.25</v>
      </c>
      <c r="P168" s="13">
        <v>13.1</v>
      </c>
      <c r="Q168" s="13">
        <v>5</v>
      </c>
      <c r="R168" s="13">
        <v>3.54</v>
      </c>
      <c r="S168" s="13">
        <v>3</v>
      </c>
      <c r="T168" s="13" t="b">
        <v>0</v>
      </c>
      <c r="U168" s="14" t="s">
        <v>72</v>
      </c>
    </row>
    <row r="169" spans="1:21" ht="13.95" customHeight="1" x14ac:dyDescent="0.3">
      <c r="A169" s="15" t="s">
        <v>102</v>
      </c>
      <c r="B169" s="15">
        <v>62</v>
      </c>
      <c r="C169" s="15">
        <v>408</v>
      </c>
      <c r="D169" s="15" t="s">
        <v>70</v>
      </c>
      <c r="E169" s="15" t="s">
        <v>70</v>
      </c>
      <c r="F169" s="15">
        <v>0</v>
      </c>
      <c r="G169" s="15">
        <v>182.3</v>
      </c>
      <c r="H169" s="15">
        <v>101</v>
      </c>
      <c r="I169" s="15">
        <v>30.99</v>
      </c>
      <c r="J169" s="15">
        <v>328.2</v>
      </c>
      <c r="K169" s="15">
        <v>93</v>
      </c>
      <c r="L169" s="15">
        <v>27.9</v>
      </c>
      <c r="M169" s="15">
        <v>245</v>
      </c>
      <c r="N169" s="15">
        <v>131</v>
      </c>
      <c r="O169" s="15">
        <v>11.03</v>
      </c>
      <c r="P169" s="15">
        <v>11.2</v>
      </c>
      <c r="Q169" s="15">
        <v>1</v>
      </c>
      <c r="R169" s="15">
        <v>3.02</v>
      </c>
      <c r="S169" s="15">
        <v>2</v>
      </c>
      <c r="T169" s="15" t="b">
        <v>0</v>
      </c>
      <c r="U169" s="14" t="s">
        <v>72</v>
      </c>
    </row>
    <row r="170" spans="1:21" ht="13.95" customHeight="1" x14ac:dyDescent="0.3">
      <c r="A170" s="13" t="s">
        <v>98</v>
      </c>
      <c r="B170" s="13">
        <v>97</v>
      </c>
      <c r="C170" s="13">
        <v>415</v>
      </c>
      <c r="D170" s="13" t="s">
        <v>70</v>
      </c>
      <c r="E170" s="13" t="s">
        <v>70</v>
      </c>
      <c r="F170" s="13">
        <v>0</v>
      </c>
      <c r="G170" s="13">
        <v>218</v>
      </c>
      <c r="H170" s="13">
        <v>86</v>
      </c>
      <c r="I170" s="13">
        <v>37.06</v>
      </c>
      <c r="J170" s="13">
        <v>184</v>
      </c>
      <c r="K170" s="13">
        <v>94</v>
      </c>
      <c r="L170" s="13">
        <v>15.64</v>
      </c>
      <c r="M170" s="13">
        <v>240.5</v>
      </c>
      <c r="N170" s="13">
        <v>110</v>
      </c>
      <c r="O170" s="13">
        <v>10.82</v>
      </c>
      <c r="P170" s="13">
        <v>6.4</v>
      </c>
      <c r="Q170" s="13">
        <v>8</v>
      </c>
      <c r="R170" s="13">
        <v>1.73</v>
      </c>
      <c r="S170" s="13">
        <v>3</v>
      </c>
      <c r="T170" s="13" t="b">
        <v>0</v>
      </c>
      <c r="U170" s="14" t="s">
        <v>72</v>
      </c>
    </row>
    <row r="171" spans="1:21" ht="13.95" customHeight="1" x14ac:dyDescent="0.3">
      <c r="A171" s="15" t="s">
        <v>117</v>
      </c>
      <c r="B171" s="15">
        <v>105</v>
      </c>
      <c r="C171" s="15">
        <v>510</v>
      </c>
      <c r="D171" s="15" t="s">
        <v>70</v>
      </c>
      <c r="E171" s="15" t="s">
        <v>70</v>
      </c>
      <c r="F171" s="15">
        <v>0</v>
      </c>
      <c r="G171" s="15">
        <v>140.6</v>
      </c>
      <c r="H171" s="15">
        <v>109</v>
      </c>
      <c r="I171" s="15">
        <v>23.9</v>
      </c>
      <c r="J171" s="15">
        <v>178.6</v>
      </c>
      <c r="K171" s="15">
        <v>51</v>
      </c>
      <c r="L171" s="15">
        <v>15.18</v>
      </c>
      <c r="M171" s="15">
        <v>217</v>
      </c>
      <c r="N171" s="15">
        <v>83</v>
      </c>
      <c r="O171" s="15">
        <v>9.76</v>
      </c>
      <c r="P171" s="15">
        <v>6.8</v>
      </c>
      <c r="Q171" s="15">
        <v>3</v>
      </c>
      <c r="R171" s="15">
        <v>1.84</v>
      </c>
      <c r="S171" s="15">
        <v>2</v>
      </c>
      <c r="T171" s="15" t="b">
        <v>0</v>
      </c>
      <c r="U171" s="14" t="s">
        <v>72</v>
      </c>
    </row>
    <row r="172" spans="1:21" ht="13.95" customHeight="1" x14ac:dyDescent="0.3">
      <c r="A172" s="13" t="s">
        <v>108</v>
      </c>
      <c r="B172" s="13">
        <v>157</v>
      </c>
      <c r="C172" s="13">
        <v>415</v>
      </c>
      <c r="D172" s="13" t="s">
        <v>70</v>
      </c>
      <c r="E172" s="13" t="s">
        <v>70</v>
      </c>
      <c r="F172" s="13">
        <v>0</v>
      </c>
      <c r="G172" s="13">
        <v>152.69999999999999</v>
      </c>
      <c r="H172" s="13">
        <v>105</v>
      </c>
      <c r="I172" s="13">
        <v>25.96</v>
      </c>
      <c r="J172" s="13">
        <v>257.5</v>
      </c>
      <c r="K172" s="13">
        <v>80</v>
      </c>
      <c r="L172" s="13">
        <v>21.89</v>
      </c>
      <c r="M172" s="13">
        <v>198.1</v>
      </c>
      <c r="N172" s="13">
        <v>93</v>
      </c>
      <c r="O172" s="13">
        <v>8.91</v>
      </c>
      <c r="P172" s="13">
        <v>9.4</v>
      </c>
      <c r="Q172" s="13">
        <v>4</v>
      </c>
      <c r="R172" s="13">
        <v>2.54</v>
      </c>
      <c r="S172" s="13">
        <v>1</v>
      </c>
      <c r="T172" s="13" t="b">
        <v>0</v>
      </c>
      <c r="U172" s="14" t="s">
        <v>72</v>
      </c>
    </row>
    <row r="173" spans="1:21" ht="13.95" customHeight="1" x14ac:dyDescent="0.3">
      <c r="A173" s="15" t="s">
        <v>78</v>
      </c>
      <c r="B173" s="15">
        <v>66</v>
      </c>
      <c r="C173" s="15">
        <v>415</v>
      </c>
      <c r="D173" s="15" t="s">
        <v>70</v>
      </c>
      <c r="E173" s="15" t="s">
        <v>71</v>
      </c>
      <c r="F173" s="15">
        <v>36</v>
      </c>
      <c r="G173" s="15">
        <v>106.7</v>
      </c>
      <c r="H173" s="15">
        <v>76</v>
      </c>
      <c r="I173" s="15">
        <v>18.14</v>
      </c>
      <c r="J173" s="15">
        <v>209.8</v>
      </c>
      <c r="K173" s="15">
        <v>77</v>
      </c>
      <c r="L173" s="15">
        <v>17.829999999999998</v>
      </c>
      <c r="M173" s="15">
        <v>190.4</v>
      </c>
      <c r="N173" s="15">
        <v>117</v>
      </c>
      <c r="O173" s="15">
        <v>8.57</v>
      </c>
      <c r="P173" s="15">
        <v>12.1</v>
      </c>
      <c r="Q173" s="15">
        <v>2</v>
      </c>
      <c r="R173" s="15">
        <v>3.27</v>
      </c>
      <c r="S173" s="15">
        <v>1</v>
      </c>
      <c r="T173" s="15" t="b">
        <v>0</v>
      </c>
      <c r="U173" s="14" t="s">
        <v>72</v>
      </c>
    </row>
    <row r="174" spans="1:21" ht="13.95" customHeight="1" x14ac:dyDescent="0.3">
      <c r="A174" s="13" t="s">
        <v>101</v>
      </c>
      <c r="B174" s="13">
        <v>38</v>
      </c>
      <c r="C174" s="13">
        <v>415</v>
      </c>
      <c r="D174" s="13" t="s">
        <v>70</v>
      </c>
      <c r="E174" s="13" t="s">
        <v>70</v>
      </c>
      <c r="F174" s="13">
        <v>0</v>
      </c>
      <c r="G174" s="13">
        <v>194.4</v>
      </c>
      <c r="H174" s="13">
        <v>94</v>
      </c>
      <c r="I174" s="13">
        <v>33.049999999999997</v>
      </c>
      <c r="J174" s="13">
        <v>186.7</v>
      </c>
      <c r="K174" s="13">
        <v>95</v>
      </c>
      <c r="L174" s="13">
        <v>15.87</v>
      </c>
      <c r="M174" s="13">
        <v>223.3</v>
      </c>
      <c r="N174" s="13">
        <v>90</v>
      </c>
      <c r="O174" s="13">
        <v>10.050000000000001</v>
      </c>
      <c r="P174" s="13">
        <v>10.8</v>
      </c>
      <c r="Q174" s="13">
        <v>5</v>
      </c>
      <c r="R174" s="13">
        <v>2.92</v>
      </c>
      <c r="S174" s="13">
        <v>3</v>
      </c>
      <c r="T174" s="13" t="b">
        <v>0</v>
      </c>
      <c r="U174" s="14" t="s">
        <v>72</v>
      </c>
    </row>
    <row r="175" spans="1:21" ht="13.95" customHeight="1" x14ac:dyDescent="0.3">
      <c r="A175" s="15" t="s">
        <v>98</v>
      </c>
      <c r="B175" s="15">
        <v>106</v>
      </c>
      <c r="C175" s="15">
        <v>510</v>
      </c>
      <c r="D175" s="15" t="s">
        <v>70</v>
      </c>
      <c r="E175" s="15" t="s">
        <v>70</v>
      </c>
      <c r="F175" s="15">
        <v>0</v>
      </c>
      <c r="G175" s="15">
        <v>213.9</v>
      </c>
      <c r="H175" s="15">
        <v>95</v>
      </c>
      <c r="I175" s="15">
        <v>36.36</v>
      </c>
      <c r="J175" s="15">
        <v>151.9</v>
      </c>
      <c r="K175" s="15">
        <v>70</v>
      </c>
      <c r="L175" s="15">
        <v>12.91</v>
      </c>
      <c r="M175" s="15">
        <v>260.10000000000002</v>
      </c>
      <c r="N175" s="15">
        <v>124</v>
      </c>
      <c r="O175" s="15">
        <v>11.7</v>
      </c>
      <c r="P175" s="15">
        <v>12.2</v>
      </c>
      <c r="Q175" s="15">
        <v>5</v>
      </c>
      <c r="R175" s="15">
        <v>3.29</v>
      </c>
      <c r="S175" s="15">
        <v>3</v>
      </c>
      <c r="T175" s="15" t="b">
        <v>0</v>
      </c>
      <c r="U175" s="14" t="s">
        <v>72</v>
      </c>
    </row>
    <row r="176" spans="1:21" ht="13.95" customHeight="1" x14ac:dyDescent="0.3">
      <c r="A176" s="13" t="s">
        <v>80</v>
      </c>
      <c r="B176" s="13">
        <v>99</v>
      </c>
      <c r="C176" s="13">
        <v>510</v>
      </c>
      <c r="D176" s="13" t="s">
        <v>70</v>
      </c>
      <c r="E176" s="13" t="s">
        <v>70</v>
      </c>
      <c r="F176" s="13">
        <v>0</v>
      </c>
      <c r="G176" s="13">
        <v>217.2</v>
      </c>
      <c r="H176" s="13">
        <v>112</v>
      </c>
      <c r="I176" s="13">
        <v>36.92</v>
      </c>
      <c r="J176" s="13">
        <v>246.7</v>
      </c>
      <c r="K176" s="13">
        <v>89</v>
      </c>
      <c r="L176" s="13">
        <v>20.97</v>
      </c>
      <c r="M176" s="13">
        <v>226.1</v>
      </c>
      <c r="N176" s="13">
        <v>89</v>
      </c>
      <c r="O176" s="13">
        <v>10.17</v>
      </c>
      <c r="P176" s="13">
        <v>15.8</v>
      </c>
      <c r="Q176" s="13">
        <v>7</v>
      </c>
      <c r="R176" s="13">
        <v>4.2699999999999996</v>
      </c>
      <c r="S176" s="13">
        <v>3</v>
      </c>
      <c r="T176" s="13" t="b">
        <v>0</v>
      </c>
      <c r="U176" s="14" t="s">
        <v>72</v>
      </c>
    </row>
    <row r="177" spans="1:21" ht="13.95" customHeight="1" x14ac:dyDescent="0.3">
      <c r="A177" s="15" t="s">
        <v>90</v>
      </c>
      <c r="B177" s="15">
        <v>144</v>
      </c>
      <c r="C177" s="15">
        <v>510</v>
      </c>
      <c r="D177" s="15" t="s">
        <v>71</v>
      </c>
      <c r="E177" s="15" t="s">
        <v>70</v>
      </c>
      <c r="F177" s="15">
        <v>0</v>
      </c>
      <c r="G177" s="15">
        <v>203.5</v>
      </c>
      <c r="H177" s="15">
        <v>100</v>
      </c>
      <c r="I177" s="15">
        <v>34.6</v>
      </c>
      <c r="J177" s="15">
        <v>247.6</v>
      </c>
      <c r="K177" s="15">
        <v>103</v>
      </c>
      <c r="L177" s="15">
        <v>21.05</v>
      </c>
      <c r="M177" s="15">
        <v>194.3</v>
      </c>
      <c r="N177" s="15">
        <v>94</v>
      </c>
      <c r="O177" s="15">
        <v>8.74</v>
      </c>
      <c r="P177" s="15">
        <v>11.9</v>
      </c>
      <c r="Q177" s="15">
        <v>11</v>
      </c>
      <c r="R177" s="15">
        <v>3.21</v>
      </c>
      <c r="S177" s="15">
        <v>0</v>
      </c>
      <c r="T177" s="15" t="b">
        <v>0</v>
      </c>
      <c r="U177" s="14" t="s">
        <v>72</v>
      </c>
    </row>
    <row r="178" spans="1:21" ht="13.95" customHeight="1" x14ac:dyDescent="0.3">
      <c r="A178" s="13" t="s">
        <v>120</v>
      </c>
      <c r="B178" s="13">
        <v>82</v>
      </c>
      <c r="C178" s="13">
        <v>415</v>
      </c>
      <c r="D178" s="13" t="s">
        <v>70</v>
      </c>
      <c r="E178" s="13" t="s">
        <v>71</v>
      </c>
      <c r="F178" s="13">
        <v>24</v>
      </c>
      <c r="G178" s="13">
        <v>155.19999999999999</v>
      </c>
      <c r="H178" s="13">
        <v>131</v>
      </c>
      <c r="I178" s="13">
        <v>26.38</v>
      </c>
      <c r="J178" s="13">
        <v>244.5</v>
      </c>
      <c r="K178" s="13">
        <v>106</v>
      </c>
      <c r="L178" s="13">
        <v>20.78</v>
      </c>
      <c r="M178" s="13">
        <v>122.4</v>
      </c>
      <c r="N178" s="13">
        <v>68</v>
      </c>
      <c r="O178" s="13">
        <v>5.51</v>
      </c>
      <c r="P178" s="13">
        <v>10.7</v>
      </c>
      <c r="Q178" s="13">
        <v>3</v>
      </c>
      <c r="R178" s="13">
        <v>2.89</v>
      </c>
      <c r="S178" s="13">
        <v>1</v>
      </c>
      <c r="T178" s="13" t="b">
        <v>0</v>
      </c>
      <c r="U178" s="14" t="s">
        <v>72</v>
      </c>
    </row>
    <row r="179" spans="1:21" ht="13.95" customHeight="1" x14ac:dyDescent="0.3">
      <c r="A179" s="15" t="s">
        <v>90</v>
      </c>
      <c r="B179" s="15">
        <v>86</v>
      </c>
      <c r="C179" s="15">
        <v>408</v>
      </c>
      <c r="D179" s="15" t="s">
        <v>70</v>
      </c>
      <c r="E179" s="15" t="s">
        <v>71</v>
      </c>
      <c r="F179" s="15">
        <v>31</v>
      </c>
      <c r="G179" s="15">
        <v>167.6</v>
      </c>
      <c r="H179" s="15">
        <v>139</v>
      </c>
      <c r="I179" s="15">
        <v>28.49</v>
      </c>
      <c r="J179" s="15">
        <v>113</v>
      </c>
      <c r="K179" s="15">
        <v>118</v>
      </c>
      <c r="L179" s="15">
        <v>9.61</v>
      </c>
      <c r="M179" s="15">
        <v>246.9</v>
      </c>
      <c r="N179" s="15">
        <v>121</v>
      </c>
      <c r="O179" s="15">
        <v>11.11</v>
      </c>
      <c r="P179" s="15">
        <v>12.2</v>
      </c>
      <c r="Q179" s="15">
        <v>6</v>
      </c>
      <c r="R179" s="15">
        <v>3.29</v>
      </c>
      <c r="S179" s="15">
        <v>1</v>
      </c>
      <c r="T179" s="15" t="b">
        <v>0</v>
      </c>
      <c r="U179" s="14" t="s">
        <v>72</v>
      </c>
    </row>
    <row r="180" spans="1:21" ht="13.95" customHeight="1" x14ac:dyDescent="0.3">
      <c r="A180" s="13" t="s">
        <v>87</v>
      </c>
      <c r="B180" s="13">
        <v>70</v>
      </c>
      <c r="C180" s="13">
        <v>510</v>
      </c>
      <c r="D180" s="13" t="s">
        <v>71</v>
      </c>
      <c r="E180" s="13" t="s">
        <v>70</v>
      </c>
      <c r="F180" s="13">
        <v>0</v>
      </c>
      <c r="G180" s="13">
        <v>226.7</v>
      </c>
      <c r="H180" s="13">
        <v>98</v>
      </c>
      <c r="I180" s="13">
        <v>38.54</v>
      </c>
      <c r="J180" s="13">
        <v>228.1</v>
      </c>
      <c r="K180" s="13">
        <v>115</v>
      </c>
      <c r="L180" s="13">
        <v>19.39</v>
      </c>
      <c r="M180" s="13">
        <v>73.2</v>
      </c>
      <c r="N180" s="13">
        <v>93</v>
      </c>
      <c r="O180" s="13">
        <v>3.29</v>
      </c>
      <c r="P180" s="13">
        <v>17.600000000000001</v>
      </c>
      <c r="Q180" s="13">
        <v>4</v>
      </c>
      <c r="R180" s="13">
        <v>4.75</v>
      </c>
      <c r="S180" s="13">
        <v>2</v>
      </c>
      <c r="T180" s="13" t="b">
        <v>1</v>
      </c>
      <c r="U180" s="16" t="s">
        <v>89</v>
      </c>
    </row>
    <row r="181" spans="1:21" ht="13.95" customHeight="1" x14ac:dyDescent="0.3">
      <c r="A181" s="15" t="s">
        <v>95</v>
      </c>
      <c r="B181" s="15">
        <v>93</v>
      </c>
      <c r="C181" s="15">
        <v>415</v>
      </c>
      <c r="D181" s="15" t="s">
        <v>70</v>
      </c>
      <c r="E181" s="15" t="s">
        <v>70</v>
      </c>
      <c r="F181" s="15">
        <v>0</v>
      </c>
      <c r="G181" s="15">
        <v>179.3</v>
      </c>
      <c r="H181" s="15">
        <v>93</v>
      </c>
      <c r="I181" s="15">
        <v>30.48</v>
      </c>
      <c r="J181" s="15">
        <v>178.6</v>
      </c>
      <c r="K181" s="15">
        <v>98</v>
      </c>
      <c r="L181" s="15">
        <v>15.18</v>
      </c>
      <c r="M181" s="15">
        <v>225.2</v>
      </c>
      <c r="N181" s="15">
        <v>131</v>
      </c>
      <c r="O181" s="15">
        <v>10.130000000000001</v>
      </c>
      <c r="P181" s="15">
        <v>11.5</v>
      </c>
      <c r="Q181" s="15">
        <v>6</v>
      </c>
      <c r="R181" s="15">
        <v>3.11</v>
      </c>
      <c r="S181" s="15">
        <v>3</v>
      </c>
      <c r="T181" s="15" t="b">
        <v>0</v>
      </c>
      <c r="U181" s="14" t="s">
        <v>72</v>
      </c>
    </row>
    <row r="182" spans="1:21" ht="13.95" customHeight="1" x14ac:dyDescent="0.3">
      <c r="A182" s="13" t="s">
        <v>87</v>
      </c>
      <c r="B182" s="13">
        <v>93</v>
      </c>
      <c r="C182" s="13">
        <v>415</v>
      </c>
      <c r="D182" s="13" t="s">
        <v>70</v>
      </c>
      <c r="E182" s="13" t="s">
        <v>70</v>
      </c>
      <c r="F182" s="13">
        <v>0</v>
      </c>
      <c r="G182" s="13">
        <v>151.4</v>
      </c>
      <c r="H182" s="13">
        <v>89</v>
      </c>
      <c r="I182" s="13">
        <v>25.74</v>
      </c>
      <c r="J182" s="13">
        <v>186.4</v>
      </c>
      <c r="K182" s="13">
        <v>76</v>
      </c>
      <c r="L182" s="13">
        <v>15.84</v>
      </c>
      <c r="M182" s="13">
        <v>172.5</v>
      </c>
      <c r="N182" s="13">
        <v>120</v>
      </c>
      <c r="O182" s="13">
        <v>7.76</v>
      </c>
      <c r="P182" s="13">
        <v>10.9</v>
      </c>
      <c r="Q182" s="13">
        <v>3</v>
      </c>
      <c r="R182" s="13">
        <v>2.94</v>
      </c>
      <c r="S182" s="13">
        <v>0</v>
      </c>
      <c r="T182" s="13" t="b">
        <v>0</v>
      </c>
      <c r="U182" s="14" t="s">
        <v>72</v>
      </c>
    </row>
    <row r="183" spans="1:21" ht="13.95" customHeight="1" x14ac:dyDescent="0.3">
      <c r="A183" s="15" t="s">
        <v>87</v>
      </c>
      <c r="B183" s="15">
        <v>120</v>
      </c>
      <c r="C183" s="15">
        <v>415</v>
      </c>
      <c r="D183" s="15" t="s">
        <v>70</v>
      </c>
      <c r="E183" s="15" t="s">
        <v>70</v>
      </c>
      <c r="F183" s="15">
        <v>0</v>
      </c>
      <c r="G183" s="15">
        <v>180</v>
      </c>
      <c r="H183" s="15">
        <v>80</v>
      </c>
      <c r="I183" s="15">
        <v>30.6</v>
      </c>
      <c r="J183" s="15">
        <v>224.2</v>
      </c>
      <c r="K183" s="15">
        <v>82</v>
      </c>
      <c r="L183" s="15">
        <v>19.059999999999999</v>
      </c>
      <c r="M183" s="15">
        <v>265.39999999999998</v>
      </c>
      <c r="N183" s="15">
        <v>91</v>
      </c>
      <c r="O183" s="15">
        <v>11.94</v>
      </c>
      <c r="P183" s="15">
        <v>4.7</v>
      </c>
      <c r="Q183" s="15">
        <v>7</v>
      </c>
      <c r="R183" s="15">
        <v>1.27</v>
      </c>
      <c r="S183" s="15">
        <v>3</v>
      </c>
      <c r="T183" s="15" t="b">
        <v>0</v>
      </c>
      <c r="U183" s="14" t="s">
        <v>72</v>
      </c>
    </row>
    <row r="184" spans="1:21" ht="13.95" customHeight="1" x14ac:dyDescent="0.3">
      <c r="A184" s="13" t="s">
        <v>98</v>
      </c>
      <c r="B184" s="13">
        <v>136</v>
      </c>
      <c r="C184" s="13">
        <v>415</v>
      </c>
      <c r="D184" s="13" t="s">
        <v>70</v>
      </c>
      <c r="E184" s="13" t="s">
        <v>70</v>
      </c>
      <c r="F184" s="13">
        <v>0</v>
      </c>
      <c r="G184" s="13">
        <v>250.2</v>
      </c>
      <c r="H184" s="13">
        <v>121</v>
      </c>
      <c r="I184" s="13">
        <v>42.53</v>
      </c>
      <c r="J184" s="13">
        <v>267.10000000000002</v>
      </c>
      <c r="K184" s="13">
        <v>118</v>
      </c>
      <c r="L184" s="13">
        <v>22.7</v>
      </c>
      <c r="M184" s="13">
        <v>151</v>
      </c>
      <c r="N184" s="13">
        <v>114</v>
      </c>
      <c r="O184" s="13">
        <v>6.8</v>
      </c>
      <c r="P184" s="13">
        <v>13</v>
      </c>
      <c r="Q184" s="13">
        <v>2</v>
      </c>
      <c r="R184" s="13">
        <v>3.51</v>
      </c>
      <c r="S184" s="13">
        <v>1</v>
      </c>
      <c r="T184" s="13" t="b">
        <v>1</v>
      </c>
      <c r="U184" s="16" t="s">
        <v>89</v>
      </c>
    </row>
    <row r="185" spans="1:21" ht="13.95" customHeight="1" x14ac:dyDescent="0.3">
      <c r="A185" s="15" t="s">
        <v>76</v>
      </c>
      <c r="B185" s="15">
        <v>106</v>
      </c>
      <c r="C185" s="15">
        <v>415</v>
      </c>
      <c r="D185" s="15" t="s">
        <v>70</v>
      </c>
      <c r="E185" s="15" t="s">
        <v>70</v>
      </c>
      <c r="F185" s="15">
        <v>0</v>
      </c>
      <c r="G185" s="15">
        <v>223</v>
      </c>
      <c r="H185" s="15">
        <v>121</v>
      </c>
      <c r="I185" s="15">
        <v>37.909999999999997</v>
      </c>
      <c r="J185" s="15">
        <v>110.1</v>
      </c>
      <c r="K185" s="15">
        <v>98</v>
      </c>
      <c r="L185" s="15">
        <v>9.36</v>
      </c>
      <c r="M185" s="15">
        <v>188.7</v>
      </c>
      <c r="N185" s="15">
        <v>107</v>
      </c>
      <c r="O185" s="15">
        <v>8.49</v>
      </c>
      <c r="P185" s="15">
        <v>7.1</v>
      </c>
      <c r="Q185" s="15">
        <v>12</v>
      </c>
      <c r="R185" s="15">
        <v>1.92</v>
      </c>
      <c r="S185" s="15">
        <v>0</v>
      </c>
      <c r="T185" s="15" t="b">
        <v>0</v>
      </c>
      <c r="U185" s="14" t="s">
        <v>72</v>
      </c>
    </row>
    <row r="186" spans="1:21" ht="13.95" customHeight="1" x14ac:dyDescent="0.3">
      <c r="A186" s="13" t="s">
        <v>108</v>
      </c>
      <c r="B186" s="13">
        <v>81</v>
      </c>
      <c r="C186" s="13">
        <v>415</v>
      </c>
      <c r="D186" s="13" t="s">
        <v>70</v>
      </c>
      <c r="E186" s="13" t="s">
        <v>70</v>
      </c>
      <c r="F186" s="13">
        <v>0</v>
      </c>
      <c r="G186" s="13">
        <v>183.6</v>
      </c>
      <c r="H186" s="13">
        <v>116</v>
      </c>
      <c r="I186" s="13">
        <v>31.21</v>
      </c>
      <c r="J186" s="13">
        <v>152.6</v>
      </c>
      <c r="K186" s="13">
        <v>98</v>
      </c>
      <c r="L186" s="13">
        <v>12.97</v>
      </c>
      <c r="M186" s="13">
        <v>212.2</v>
      </c>
      <c r="N186" s="13">
        <v>99</v>
      </c>
      <c r="O186" s="13">
        <v>9.5500000000000007</v>
      </c>
      <c r="P186" s="13">
        <v>12.2</v>
      </c>
      <c r="Q186" s="13">
        <v>6</v>
      </c>
      <c r="R186" s="13">
        <v>3.29</v>
      </c>
      <c r="S186" s="13">
        <v>3</v>
      </c>
      <c r="T186" s="13" t="b">
        <v>0</v>
      </c>
      <c r="U186" s="14" t="s">
        <v>72</v>
      </c>
    </row>
    <row r="187" spans="1:21" ht="13.95" customHeight="1" x14ac:dyDescent="0.3">
      <c r="A187" s="15" t="s">
        <v>119</v>
      </c>
      <c r="B187" s="15">
        <v>127</v>
      </c>
      <c r="C187" s="15">
        <v>408</v>
      </c>
      <c r="D187" s="15" t="s">
        <v>70</v>
      </c>
      <c r="E187" s="15" t="s">
        <v>71</v>
      </c>
      <c r="F187" s="15">
        <v>22</v>
      </c>
      <c r="G187" s="15">
        <v>166</v>
      </c>
      <c r="H187" s="15">
        <v>114</v>
      </c>
      <c r="I187" s="15">
        <v>28.22</v>
      </c>
      <c r="J187" s="15">
        <v>174.5</v>
      </c>
      <c r="K187" s="15">
        <v>103</v>
      </c>
      <c r="L187" s="15">
        <v>14.83</v>
      </c>
      <c r="M187" s="15">
        <v>244.9</v>
      </c>
      <c r="N187" s="15">
        <v>68</v>
      </c>
      <c r="O187" s="15">
        <v>11.02</v>
      </c>
      <c r="P187" s="15">
        <v>10.199999999999999</v>
      </c>
      <c r="Q187" s="15">
        <v>6</v>
      </c>
      <c r="R187" s="15">
        <v>2.75</v>
      </c>
      <c r="S187" s="15">
        <v>1</v>
      </c>
      <c r="T187" s="15" t="b">
        <v>0</v>
      </c>
      <c r="U187" s="14" t="s">
        <v>72</v>
      </c>
    </row>
    <row r="188" spans="1:21" ht="13.95" customHeight="1" x14ac:dyDescent="0.3">
      <c r="A188" s="13" t="s">
        <v>115</v>
      </c>
      <c r="B188" s="13">
        <v>35</v>
      </c>
      <c r="C188" s="13">
        <v>408</v>
      </c>
      <c r="D188" s="13" t="s">
        <v>70</v>
      </c>
      <c r="E188" s="13" t="s">
        <v>70</v>
      </c>
      <c r="F188" s="13">
        <v>0</v>
      </c>
      <c r="G188" s="13">
        <v>149.30000000000001</v>
      </c>
      <c r="H188" s="13">
        <v>113</v>
      </c>
      <c r="I188" s="13">
        <v>25.38</v>
      </c>
      <c r="J188" s="13">
        <v>242.2</v>
      </c>
      <c r="K188" s="13">
        <v>122</v>
      </c>
      <c r="L188" s="13">
        <v>20.59</v>
      </c>
      <c r="M188" s="13">
        <v>174.3</v>
      </c>
      <c r="N188" s="13">
        <v>104</v>
      </c>
      <c r="O188" s="13">
        <v>7.84</v>
      </c>
      <c r="P188" s="13">
        <v>8.9</v>
      </c>
      <c r="Q188" s="13">
        <v>6</v>
      </c>
      <c r="R188" s="13">
        <v>2.4</v>
      </c>
      <c r="S188" s="13">
        <v>2</v>
      </c>
      <c r="T188" s="13" t="b">
        <v>0</v>
      </c>
      <c r="U188" s="14" t="s">
        <v>72</v>
      </c>
    </row>
    <row r="189" spans="1:21" ht="13.95" customHeight="1" x14ac:dyDescent="0.3">
      <c r="A189" s="15" t="s">
        <v>75</v>
      </c>
      <c r="B189" s="15">
        <v>88</v>
      </c>
      <c r="C189" s="15">
        <v>408</v>
      </c>
      <c r="D189" s="15" t="s">
        <v>70</v>
      </c>
      <c r="E189" s="15" t="s">
        <v>70</v>
      </c>
      <c r="F189" s="15">
        <v>0</v>
      </c>
      <c r="G189" s="15">
        <v>65.400000000000006</v>
      </c>
      <c r="H189" s="15">
        <v>97</v>
      </c>
      <c r="I189" s="15">
        <v>11.12</v>
      </c>
      <c r="J189" s="15">
        <v>168.2</v>
      </c>
      <c r="K189" s="15">
        <v>76</v>
      </c>
      <c r="L189" s="15">
        <v>14.3</v>
      </c>
      <c r="M189" s="15">
        <v>236</v>
      </c>
      <c r="N189" s="15">
        <v>113</v>
      </c>
      <c r="O189" s="15">
        <v>10.62</v>
      </c>
      <c r="P189" s="15">
        <v>13.8</v>
      </c>
      <c r="Q189" s="15">
        <v>1</v>
      </c>
      <c r="R189" s="15">
        <v>3.73</v>
      </c>
      <c r="S189" s="15">
        <v>2</v>
      </c>
      <c r="T189" s="15" t="b">
        <v>0</v>
      </c>
      <c r="U189" s="14" t="s">
        <v>72</v>
      </c>
    </row>
    <row r="190" spans="1:21" ht="13.95" customHeight="1" x14ac:dyDescent="0.3">
      <c r="A190" s="13" t="s">
        <v>78</v>
      </c>
      <c r="B190" s="13">
        <v>123</v>
      </c>
      <c r="C190" s="13">
        <v>415</v>
      </c>
      <c r="D190" s="13" t="s">
        <v>70</v>
      </c>
      <c r="E190" s="13" t="s">
        <v>70</v>
      </c>
      <c r="F190" s="13">
        <v>0</v>
      </c>
      <c r="G190" s="13">
        <v>206.9</v>
      </c>
      <c r="H190" s="13">
        <v>85</v>
      </c>
      <c r="I190" s="13">
        <v>35.17</v>
      </c>
      <c r="J190" s="13">
        <v>244.7</v>
      </c>
      <c r="K190" s="13">
        <v>78</v>
      </c>
      <c r="L190" s="13">
        <v>20.8</v>
      </c>
      <c r="M190" s="13">
        <v>221.5</v>
      </c>
      <c r="N190" s="13">
        <v>136</v>
      </c>
      <c r="O190" s="13">
        <v>9.9700000000000006</v>
      </c>
      <c r="P190" s="13">
        <v>7.7</v>
      </c>
      <c r="Q190" s="13">
        <v>2</v>
      </c>
      <c r="R190" s="13">
        <v>2.08</v>
      </c>
      <c r="S190" s="13">
        <v>3</v>
      </c>
      <c r="T190" s="13" t="b">
        <v>0</v>
      </c>
      <c r="U190" s="14" t="s">
        <v>72</v>
      </c>
    </row>
    <row r="191" spans="1:21" ht="13.95" customHeight="1" x14ac:dyDescent="0.3">
      <c r="A191" s="15" t="s">
        <v>81</v>
      </c>
      <c r="B191" s="15">
        <v>126</v>
      </c>
      <c r="C191" s="15">
        <v>408</v>
      </c>
      <c r="D191" s="15" t="s">
        <v>70</v>
      </c>
      <c r="E191" s="15" t="s">
        <v>71</v>
      </c>
      <c r="F191" s="15">
        <v>27</v>
      </c>
      <c r="G191" s="15">
        <v>186.2</v>
      </c>
      <c r="H191" s="15">
        <v>78</v>
      </c>
      <c r="I191" s="15">
        <v>31.65</v>
      </c>
      <c r="J191" s="15">
        <v>189.6</v>
      </c>
      <c r="K191" s="15">
        <v>83</v>
      </c>
      <c r="L191" s="15">
        <v>16.12</v>
      </c>
      <c r="M191" s="15">
        <v>76.5</v>
      </c>
      <c r="N191" s="15">
        <v>139</v>
      </c>
      <c r="O191" s="15">
        <v>3.44</v>
      </c>
      <c r="P191" s="15">
        <v>9.6</v>
      </c>
      <c r="Q191" s="15">
        <v>3</v>
      </c>
      <c r="R191" s="15">
        <v>2.59</v>
      </c>
      <c r="S191" s="15">
        <v>2</v>
      </c>
      <c r="T191" s="15" t="b">
        <v>0</v>
      </c>
      <c r="U191" s="14" t="s">
        <v>72</v>
      </c>
    </row>
    <row r="192" spans="1:21" ht="13.95" customHeight="1" x14ac:dyDescent="0.3">
      <c r="A192" s="13" t="s">
        <v>85</v>
      </c>
      <c r="B192" s="13">
        <v>104</v>
      </c>
      <c r="C192" s="13">
        <v>415</v>
      </c>
      <c r="D192" s="13" t="s">
        <v>70</v>
      </c>
      <c r="E192" s="13" t="s">
        <v>71</v>
      </c>
      <c r="F192" s="13">
        <v>23</v>
      </c>
      <c r="G192" s="13">
        <v>280.2</v>
      </c>
      <c r="H192" s="13">
        <v>136</v>
      </c>
      <c r="I192" s="13">
        <v>47.63</v>
      </c>
      <c r="J192" s="13">
        <v>220.5</v>
      </c>
      <c r="K192" s="13">
        <v>92</v>
      </c>
      <c r="L192" s="13">
        <v>18.739999999999998</v>
      </c>
      <c r="M192" s="13">
        <v>136.9</v>
      </c>
      <c r="N192" s="13">
        <v>102</v>
      </c>
      <c r="O192" s="13">
        <v>6.16</v>
      </c>
      <c r="P192" s="13">
        <v>13.3</v>
      </c>
      <c r="Q192" s="13">
        <v>3</v>
      </c>
      <c r="R192" s="13">
        <v>3.59</v>
      </c>
      <c r="S192" s="13">
        <v>4</v>
      </c>
      <c r="T192" s="13" t="b">
        <v>0</v>
      </c>
      <c r="U192" s="14" t="s">
        <v>72</v>
      </c>
    </row>
    <row r="193" spans="1:21" ht="13.95" customHeight="1" x14ac:dyDescent="0.3">
      <c r="A193" s="15" t="s">
        <v>98</v>
      </c>
      <c r="B193" s="15">
        <v>93</v>
      </c>
      <c r="C193" s="15">
        <v>408</v>
      </c>
      <c r="D193" s="15" t="s">
        <v>71</v>
      </c>
      <c r="E193" s="15" t="s">
        <v>70</v>
      </c>
      <c r="F193" s="15">
        <v>0</v>
      </c>
      <c r="G193" s="15">
        <v>312</v>
      </c>
      <c r="H193" s="15">
        <v>109</v>
      </c>
      <c r="I193" s="15">
        <v>53.04</v>
      </c>
      <c r="J193" s="15">
        <v>129.4</v>
      </c>
      <c r="K193" s="15">
        <v>100</v>
      </c>
      <c r="L193" s="15">
        <v>11</v>
      </c>
      <c r="M193" s="15">
        <v>217.6</v>
      </c>
      <c r="N193" s="15">
        <v>74</v>
      </c>
      <c r="O193" s="15">
        <v>9.7899999999999991</v>
      </c>
      <c r="P193" s="15">
        <v>10.5</v>
      </c>
      <c r="Q193" s="15">
        <v>2</v>
      </c>
      <c r="R193" s="15">
        <v>2.84</v>
      </c>
      <c r="S193" s="15">
        <v>0</v>
      </c>
      <c r="T193" s="15" t="b">
        <v>1</v>
      </c>
      <c r="U193" s="16" t="s">
        <v>89</v>
      </c>
    </row>
    <row r="194" spans="1:21" ht="13.95" customHeight="1" x14ac:dyDescent="0.3">
      <c r="A194" s="13" t="s">
        <v>73</v>
      </c>
      <c r="B194" s="13">
        <v>63</v>
      </c>
      <c r="C194" s="13">
        <v>415</v>
      </c>
      <c r="D194" s="13" t="s">
        <v>71</v>
      </c>
      <c r="E194" s="13" t="s">
        <v>71</v>
      </c>
      <c r="F194" s="13">
        <v>36</v>
      </c>
      <c r="G194" s="13">
        <v>199</v>
      </c>
      <c r="H194" s="13">
        <v>110</v>
      </c>
      <c r="I194" s="13">
        <v>33.83</v>
      </c>
      <c r="J194" s="13">
        <v>291.3</v>
      </c>
      <c r="K194" s="13">
        <v>111</v>
      </c>
      <c r="L194" s="13">
        <v>24.76</v>
      </c>
      <c r="M194" s="13">
        <v>197.6</v>
      </c>
      <c r="N194" s="13">
        <v>92</v>
      </c>
      <c r="O194" s="13">
        <v>8.89</v>
      </c>
      <c r="P194" s="13">
        <v>11</v>
      </c>
      <c r="Q194" s="13">
        <v>6</v>
      </c>
      <c r="R194" s="13">
        <v>2.97</v>
      </c>
      <c r="S194" s="13">
        <v>1</v>
      </c>
      <c r="T194" s="13" t="b">
        <v>0</v>
      </c>
      <c r="U194" s="14" t="s">
        <v>72</v>
      </c>
    </row>
    <row r="195" spans="1:21" ht="13.95" customHeight="1" x14ac:dyDescent="0.3">
      <c r="A195" s="15" t="s">
        <v>75</v>
      </c>
      <c r="B195" s="15">
        <v>100</v>
      </c>
      <c r="C195" s="15">
        <v>415</v>
      </c>
      <c r="D195" s="15" t="s">
        <v>70</v>
      </c>
      <c r="E195" s="15" t="s">
        <v>70</v>
      </c>
      <c r="F195" s="15">
        <v>0</v>
      </c>
      <c r="G195" s="15">
        <v>203.1</v>
      </c>
      <c r="H195" s="15">
        <v>96</v>
      </c>
      <c r="I195" s="15">
        <v>34.53</v>
      </c>
      <c r="J195" s="15">
        <v>217</v>
      </c>
      <c r="K195" s="15">
        <v>126</v>
      </c>
      <c r="L195" s="15">
        <v>18.45</v>
      </c>
      <c r="M195" s="15">
        <v>180.9</v>
      </c>
      <c r="N195" s="15">
        <v>122</v>
      </c>
      <c r="O195" s="15">
        <v>8.14</v>
      </c>
      <c r="P195" s="15">
        <v>13.5</v>
      </c>
      <c r="Q195" s="15">
        <v>2</v>
      </c>
      <c r="R195" s="15">
        <v>3.65</v>
      </c>
      <c r="S195" s="15">
        <v>3</v>
      </c>
      <c r="T195" s="15" t="b">
        <v>0</v>
      </c>
      <c r="U195" s="14" t="s">
        <v>72</v>
      </c>
    </row>
    <row r="196" spans="1:21" ht="13.95" customHeight="1" x14ac:dyDescent="0.3">
      <c r="A196" s="13" t="s">
        <v>111</v>
      </c>
      <c r="B196" s="13">
        <v>53</v>
      </c>
      <c r="C196" s="13">
        <v>415</v>
      </c>
      <c r="D196" s="13" t="s">
        <v>70</v>
      </c>
      <c r="E196" s="13" t="s">
        <v>70</v>
      </c>
      <c r="F196" s="13">
        <v>0</v>
      </c>
      <c r="G196" s="13">
        <v>168.8</v>
      </c>
      <c r="H196" s="13">
        <v>97</v>
      </c>
      <c r="I196" s="13">
        <v>28.7</v>
      </c>
      <c r="J196" s="13">
        <v>220.3</v>
      </c>
      <c r="K196" s="13">
        <v>87</v>
      </c>
      <c r="L196" s="13">
        <v>18.73</v>
      </c>
      <c r="M196" s="13">
        <v>154.30000000000001</v>
      </c>
      <c r="N196" s="13">
        <v>113</v>
      </c>
      <c r="O196" s="13">
        <v>6.94</v>
      </c>
      <c r="P196" s="13">
        <v>10.9</v>
      </c>
      <c r="Q196" s="13">
        <v>2</v>
      </c>
      <c r="R196" s="13">
        <v>2.94</v>
      </c>
      <c r="S196" s="13">
        <v>0</v>
      </c>
      <c r="T196" s="13" t="b">
        <v>0</v>
      </c>
      <c r="U196" s="14" t="s">
        <v>72</v>
      </c>
    </row>
    <row r="197" spans="1:21" ht="13.95" customHeight="1" x14ac:dyDescent="0.3">
      <c r="A197" s="15" t="s">
        <v>83</v>
      </c>
      <c r="B197" s="15">
        <v>92</v>
      </c>
      <c r="C197" s="15">
        <v>415</v>
      </c>
      <c r="D197" s="15" t="s">
        <v>71</v>
      </c>
      <c r="E197" s="15" t="s">
        <v>70</v>
      </c>
      <c r="F197" s="15">
        <v>0</v>
      </c>
      <c r="G197" s="15">
        <v>173.1</v>
      </c>
      <c r="H197" s="15">
        <v>140</v>
      </c>
      <c r="I197" s="15">
        <v>29.43</v>
      </c>
      <c r="J197" s="15">
        <v>240.3</v>
      </c>
      <c r="K197" s="15">
        <v>105</v>
      </c>
      <c r="L197" s="15">
        <v>20.43</v>
      </c>
      <c r="M197" s="15">
        <v>233.2</v>
      </c>
      <c r="N197" s="15">
        <v>117</v>
      </c>
      <c r="O197" s="15">
        <v>10.49</v>
      </c>
      <c r="P197" s="15">
        <v>9</v>
      </c>
      <c r="Q197" s="15">
        <v>5</v>
      </c>
      <c r="R197" s="15">
        <v>2.4300000000000002</v>
      </c>
      <c r="S197" s="15">
        <v>1</v>
      </c>
      <c r="T197" s="15" t="b">
        <v>0</v>
      </c>
      <c r="U197" s="14" t="s">
        <v>72</v>
      </c>
    </row>
    <row r="198" spans="1:21" ht="13.95" customHeight="1" x14ac:dyDescent="0.3">
      <c r="A198" s="13" t="s">
        <v>106</v>
      </c>
      <c r="B198" s="13">
        <v>110</v>
      </c>
      <c r="C198" s="13">
        <v>408</v>
      </c>
      <c r="D198" s="13" t="s">
        <v>70</v>
      </c>
      <c r="E198" s="13" t="s">
        <v>71</v>
      </c>
      <c r="F198" s="13">
        <v>40</v>
      </c>
      <c r="G198" s="13">
        <v>202.6</v>
      </c>
      <c r="H198" s="13">
        <v>103</v>
      </c>
      <c r="I198" s="13">
        <v>34.44</v>
      </c>
      <c r="J198" s="13">
        <v>118.8</v>
      </c>
      <c r="K198" s="13">
        <v>128</v>
      </c>
      <c r="L198" s="13">
        <v>10.1</v>
      </c>
      <c r="M198" s="13">
        <v>234.9</v>
      </c>
      <c r="N198" s="13">
        <v>98</v>
      </c>
      <c r="O198" s="13">
        <v>10.57</v>
      </c>
      <c r="P198" s="13">
        <v>9</v>
      </c>
      <c r="Q198" s="13">
        <v>9</v>
      </c>
      <c r="R198" s="13">
        <v>2.4300000000000002</v>
      </c>
      <c r="S198" s="13">
        <v>2</v>
      </c>
      <c r="T198" s="13" t="b">
        <v>0</v>
      </c>
      <c r="U198" s="14" t="s">
        <v>72</v>
      </c>
    </row>
    <row r="199" spans="1:21" ht="13.95" customHeight="1" x14ac:dyDescent="0.3">
      <c r="A199" s="15" t="s">
        <v>93</v>
      </c>
      <c r="B199" s="15">
        <v>110</v>
      </c>
      <c r="C199" s="15">
        <v>408</v>
      </c>
      <c r="D199" s="15" t="s">
        <v>70</v>
      </c>
      <c r="E199" s="15" t="s">
        <v>70</v>
      </c>
      <c r="F199" s="15">
        <v>0</v>
      </c>
      <c r="G199" s="15">
        <v>74.5</v>
      </c>
      <c r="H199" s="15">
        <v>117</v>
      </c>
      <c r="I199" s="15">
        <v>12.67</v>
      </c>
      <c r="J199" s="15">
        <v>200.8</v>
      </c>
      <c r="K199" s="15">
        <v>98</v>
      </c>
      <c r="L199" s="15">
        <v>17.07</v>
      </c>
      <c r="M199" s="15">
        <v>192.2</v>
      </c>
      <c r="N199" s="15">
        <v>101</v>
      </c>
      <c r="O199" s="15">
        <v>8.65</v>
      </c>
      <c r="P199" s="15">
        <v>9.8000000000000007</v>
      </c>
      <c r="Q199" s="15">
        <v>7</v>
      </c>
      <c r="R199" s="15">
        <v>2.65</v>
      </c>
      <c r="S199" s="15">
        <v>3</v>
      </c>
      <c r="T199" s="15" t="b">
        <v>0</v>
      </c>
      <c r="U199" s="14" t="s">
        <v>72</v>
      </c>
    </row>
    <row r="200" spans="1:21" ht="13.95" customHeight="1" x14ac:dyDescent="0.3">
      <c r="A200" s="13" t="s">
        <v>76</v>
      </c>
      <c r="B200" s="13">
        <v>73</v>
      </c>
      <c r="C200" s="13">
        <v>415</v>
      </c>
      <c r="D200" s="13" t="s">
        <v>70</v>
      </c>
      <c r="E200" s="13" t="s">
        <v>70</v>
      </c>
      <c r="F200" s="13">
        <v>0</v>
      </c>
      <c r="G200" s="13">
        <v>192.2</v>
      </c>
      <c r="H200" s="13">
        <v>86</v>
      </c>
      <c r="I200" s="13">
        <v>32.67</v>
      </c>
      <c r="J200" s="13">
        <v>168.6</v>
      </c>
      <c r="K200" s="13">
        <v>116</v>
      </c>
      <c r="L200" s="13">
        <v>14.33</v>
      </c>
      <c r="M200" s="13">
        <v>139.80000000000001</v>
      </c>
      <c r="N200" s="13">
        <v>87</v>
      </c>
      <c r="O200" s="13">
        <v>6.29</v>
      </c>
      <c r="P200" s="13">
        <v>9.4</v>
      </c>
      <c r="Q200" s="13">
        <v>6</v>
      </c>
      <c r="R200" s="13">
        <v>2.54</v>
      </c>
      <c r="S200" s="13">
        <v>1</v>
      </c>
      <c r="T200" s="13" t="b">
        <v>0</v>
      </c>
      <c r="U200" s="14" t="s">
        <v>72</v>
      </c>
    </row>
    <row r="201" spans="1:21" ht="13.95" customHeight="1" x14ac:dyDescent="0.3">
      <c r="A201" s="15" t="s">
        <v>74</v>
      </c>
      <c r="B201" s="15">
        <v>138</v>
      </c>
      <c r="C201" s="15">
        <v>510</v>
      </c>
      <c r="D201" s="15" t="s">
        <v>70</v>
      </c>
      <c r="E201" s="15" t="s">
        <v>70</v>
      </c>
      <c r="F201" s="15">
        <v>0</v>
      </c>
      <c r="G201" s="15">
        <v>220.2</v>
      </c>
      <c r="H201" s="15">
        <v>89</v>
      </c>
      <c r="I201" s="15">
        <v>37.43</v>
      </c>
      <c r="J201" s="15">
        <v>88.3</v>
      </c>
      <c r="K201" s="15">
        <v>125</v>
      </c>
      <c r="L201" s="15">
        <v>7.51</v>
      </c>
      <c r="M201" s="15">
        <v>195.3</v>
      </c>
      <c r="N201" s="15">
        <v>79</v>
      </c>
      <c r="O201" s="15">
        <v>8.7899999999999991</v>
      </c>
      <c r="P201" s="15">
        <v>12.9</v>
      </c>
      <c r="Q201" s="15">
        <v>5</v>
      </c>
      <c r="R201" s="15">
        <v>3.48</v>
      </c>
      <c r="S201" s="15">
        <v>0</v>
      </c>
      <c r="T201" s="15" t="b">
        <v>0</v>
      </c>
      <c r="U201" s="14" t="s">
        <v>72</v>
      </c>
    </row>
    <row r="202" spans="1:21" ht="13.95" customHeight="1" x14ac:dyDescent="0.3">
      <c r="A202" s="13" t="s">
        <v>111</v>
      </c>
      <c r="B202" s="13">
        <v>137</v>
      </c>
      <c r="C202" s="13">
        <v>415</v>
      </c>
      <c r="D202" s="13" t="s">
        <v>71</v>
      </c>
      <c r="E202" s="13" t="s">
        <v>70</v>
      </c>
      <c r="F202" s="13">
        <v>0</v>
      </c>
      <c r="G202" s="13">
        <v>135.1</v>
      </c>
      <c r="H202" s="13">
        <v>95</v>
      </c>
      <c r="I202" s="13">
        <v>22.97</v>
      </c>
      <c r="J202" s="13">
        <v>134.1</v>
      </c>
      <c r="K202" s="13">
        <v>102</v>
      </c>
      <c r="L202" s="13">
        <v>11.4</v>
      </c>
      <c r="M202" s="13">
        <v>223.1</v>
      </c>
      <c r="N202" s="13">
        <v>81</v>
      </c>
      <c r="O202" s="13">
        <v>10.039999999999999</v>
      </c>
      <c r="P202" s="13">
        <v>12.3</v>
      </c>
      <c r="Q202" s="13">
        <v>2</v>
      </c>
      <c r="R202" s="13">
        <v>3.32</v>
      </c>
      <c r="S202" s="13">
        <v>2</v>
      </c>
      <c r="T202" s="13" t="b">
        <v>1</v>
      </c>
      <c r="U202" s="16" t="s">
        <v>89</v>
      </c>
    </row>
    <row r="203" spans="1:21" ht="13.95" customHeight="1" x14ac:dyDescent="0.3">
      <c r="A203" s="15" t="s">
        <v>103</v>
      </c>
      <c r="B203" s="15">
        <v>36</v>
      </c>
      <c r="C203" s="15">
        <v>415</v>
      </c>
      <c r="D203" s="15" t="s">
        <v>70</v>
      </c>
      <c r="E203" s="15" t="s">
        <v>70</v>
      </c>
      <c r="F203" s="15">
        <v>0</v>
      </c>
      <c r="G203" s="15">
        <v>253.4</v>
      </c>
      <c r="H203" s="15">
        <v>77</v>
      </c>
      <c r="I203" s="15">
        <v>43.08</v>
      </c>
      <c r="J203" s="15">
        <v>182.4</v>
      </c>
      <c r="K203" s="15">
        <v>151</v>
      </c>
      <c r="L203" s="15">
        <v>15.5</v>
      </c>
      <c r="M203" s="15">
        <v>275.8</v>
      </c>
      <c r="N203" s="15">
        <v>103</v>
      </c>
      <c r="O203" s="15">
        <v>12.41</v>
      </c>
      <c r="P203" s="15">
        <v>8.4</v>
      </c>
      <c r="Q203" s="15">
        <v>2</v>
      </c>
      <c r="R203" s="15">
        <v>2.27</v>
      </c>
      <c r="S203" s="15">
        <v>1</v>
      </c>
      <c r="T203" s="15" t="b">
        <v>0</v>
      </c>
      <c r="U203" s="14" t="s">
        <v>72</v>
      </c>
    </row>
    <row r="204" spans="1:21" ht="13.95" customHeight="1" x14ac:dyDescent="0.3">
      <c r="A204" s="13" t="s">
        <v>79</v>
      </c>
      <c r="B204" s="13">
        <v>85</v>
      </c>
      <c r="C204" s="13">
        <v>408</v>
      </c>
      <c r="D204" s="13" t="s">
        <v>70</v>
      </c>
      <c r="E204" s="13" t="s">
        <v>70</v>
      </c>
      <c r="F204" s="13">
        <v>0</v>
      </c>
      <c r="G204" s="13">
        <v>225</v>
      </c>
      <c r="H204" s="13">
        <v>81</v>
      </c>
      <c r="I204" s="13">
        <v>38.25</v>
      </c>
      <c r="J204" s="13">
        <v>176.9</v>
      </c>
      <c r="K204" s="13">
        <v>63</v>
      </c>
      <c r="L204" s="13">
        <v>15.04</v>
      </c>
      <c r="M204" s="13">
        <v>194.3</v>
      </c>
      <c r="N204" s="13">
        <v>110</v>
      </c>
      <c r="O204" s="13">
        <v>8.74</v>
      </c>
      <c r="P204" s="13">
        <v>7.1</v>
      </c>
      <c r="Q204" s="13">
        <v>2</v>
      </c>
      <c r="R204" s="13">
        <v>1.92</v>
      </c>
      <c r="S204" s="13">
        <v>3</v>
      </c>
      <c r="T204" s="13" t="b">
        <v>0</v>
      </c>
      <c r="U204" s="14" t="s">
        <v>72</v>
      </c>
    </row>
    <row r="205" spans="1:21" ht="13.95" customHeight="1" x14ac:dyDescent="0.3">
      <c r="A205" s="15" t="s">
        <v>85</v>
      </c>
      <c r="B205" s="15">
        <v>108</v>
      </c>
      <c r="C205" s="15">
        <v>408</v>
      </c>
      <c r="D205" s="15" t="s">
        <v>70</v>
      </c>
      <c r="E205" s="15" t="s">
        <v>70</v>
      </c>
      <c r="F205" s="15">
        <v>0</v>
      </c>
      <c r="G205" s="15">
        <v>198.5</v>
      </c>
      <c r="H205" s="15">
        <v>99</v>
      </c>
      <c r="I205" s="15">
        <v>33.75</v>
      </c>
      <c r="J205" s="15">
        <v>267.8</v>
      </c>
      <c r="K205" s="15">
        <v>60</v>
      </c>
      <c r="L205" s="15">
        <v>22.76</v>
      </c>
      <c r="M205" s="15">
        <v>354.9</v>
      </c>
      <c r="N205" s="15">
        <v>75</v>
      </c>
      <c r="O205" s="15">
        <v>15.97</v>
      </c>
      <c r="P205" s="15">
        <v>9.4</v>
      </c>
      <c r="Q205" s="15">
        <v>3</v>
      </c>
      <c r="R205" s="15">
        <v>2.54</v>
      </c>
      <c r="S205" s="15">
        <v>0</v>
      </c>
      <c r="T205" s="15" t="b">
        <v>1</v>
      </c>
      <c r="U205" s="16" t="s">
        <v>89</v>
      </c>
    </row>
    <row r="206" spans="1:21" ht="13.95" customHeight="1" x14ac:dyDescent="0.3">
      <c r="A206" s="13" t="s">
        <v>118</v>
      </c>
      <c r="B206" s="13">
        <v>22</v>
      </c>
      <c r="C206" s="13">
        <v>408</v>
      </c>
      <c r="D206" s="13" t="s">
        <v>70</v>
      </c>
      <c r="E206" s="13" t="s">
        <v>70</v>
      </c>
      <c r="F206" s="13">
        <v>0</v>
      </c>
      <c r="G206" s="13">
        <v>110.3</v>
      </c>
      <c r="H206" s="13">
        <v>107</v>
      </c>
      <c r="I206" s="13">
        <v>18.75</v>
      </c>
      <c r="J206" s="13">
        <v>166.5</v>
      </c>
      <c r="K206" s="13">
        <v>93</v>
      </c>
      <c r="L206" s="13">
        <v>14.15</v>
      </c>
      <c r="M206" s="13">
        <v>202.3</v>
      </c>
      <c r="N206" s="13">
        <v>96</v>
      </c>
      <c r="O206" s="13">
        <v>9.1</v>
      </c>
      <c r="P206" s="13">
        <v>9.5</v>
      </c>
      <c r="Q206" s="13">
        <v>5</v>
      </c>
      <c r="R206" s="13">
        <v>2.57</v>
      </c>
      <c r="S206" s="13">
        <v>0</v>
      </c>
      <c r="T206" s="13" t="b">
        <v>0</v>
      </c>
      <c r="U206" s="14" t="s">
        <v>72</v>
      </c>
    </row>
    <row r="207" spans="1:21" ht="13.95" customHeight="1" x14ac:dyDescent="0.3">
      <c r="A207" s="15" t="s">
        <v>80</v>
      </c>
      <c r="B207" s="15">
        <v>107</v>
      </c>
      <c r="C207" s="15">
        <v>415</v>
      </c>
      <c r="D207" s="15" t="s">
        <v>70</v>
      </c>
      <c r="E207" s="15" t="s">
        <v>71</v>
      </c>
      <c r="F207" s="15">
        <v>37</v>
      </c>
      <c r="G207" s="15">
        <v>60</v>
      </c>
      <c r="H207" s="15">
        <v>102</v>
      </c>
      <c r="I207" s="15">
        <v>10.199999999999999</v>
      </c>
      <c r="J207" s="15">
        <v>102.2</v>
      </c>
      <c r="K207" s="15">
        <v>80</v>
      </c>
      <c r="L207" s="15">
        <v>8.69</v>
      </c>
      <c r="M207" s="15">
        <v>261.8</v>
      </c>
      <c r="N207" s="15">
        <v>106</v>
      </c>
      <c r="O207" s="15">
        <v>11.78</v>
      </c>
      <c r="P207" s="15">
        <v>11.1</v>
      </c>
      <c r="Q207" s="15">
        <v>3</v>
      </c>
      <c r="R207" s="15">
        <v>3</v>
      </c>
      <c r="S207" s="15">
        <v>0</v>
      </c>
      <c r="T207" s="15" t="b">
        <v>0</v>
      </c>
      <c r="U207" s="14" t="s">
        <v>72</v>
      </c>
    </row>
    <row r="208" spans="1:21" ht="13.95" customHeight="1" x14ac:dyDescent="0.3">
      <c r="A208" s="13" t="s">
        <v>103</v>
      </c>
      <c r="B208" s="13">
        <v>51</v>
      </c>
      <c r="C208" s="13">
        <v>510</v>
      </c>
      <c r="D208" s="13" t="s">
        <v>70</v>
      </c>
      <c r="E208" s="13" t="s">
        <v>70</v>
      </c>
      <c r="F208" s="13">
        <v>0</v>
      </c>
      <c r="G208" s="13">
        <v>214.8</v>
      </c>
      <c r="H208" s="13">
        <v>94</v>
      </c>
      <c r="I208" s="13">
        <v>36.520000000000003</v>
      </c>
      <c r="J208" s="13">
        <v>149.69999999999999</v>
      </c>
      <c r="K208" s="13">
        <v>58</v>
      </c>
      <c r="L208" s="13">
        <v>12.72</v>
      </c>
      <c r="M208" s="13">
        <v>283.39999999999998</v>
      </c>
      <c r="N208" s="13">
        <v>66</v>
      </c>
      <c r="O208" s="13">
        <v>12.75</v>
      </c>
      <c r="P208" s="13">
        <v>10.199999999999999</v>
      </c>
      <c r="Q208" s="13">
        <v>5</v>
      </c>
      <c r="R208" s="13">
        <v>2.75</v>
      </c>
      <c r="S208" s="13">
        <v>0</v>
      </c>
      <c r="T208" s="13" t="b">
        <v>0</v>
      </c>
      <c r="U208" s="14" t="s">
        <v>72</v>
      </c>
    </row>
    <row r="209" spans="1:21" ht="13.95" customHeight="1" x14ac:dyDescent="0.3">
      <c r="A209" s="15" t="s">
        <v>101</v>
      </c>
      <c r="B209" s="15">
        <v>33</v>
      </c>
      <c r="C209" s="15">
        <v>415</v>
      </c>
      <c r="D209" s="15" t="s">
        <v>70</v>
      </c>
      <c r="E209" s="15" t="s">
        <v>71</v>
      </c>
      <c r="F209" s="15">
        <v>29</v>
      </c>
      <c r="G209" s="15">
        <v>157.4</v>
      </c>
      <c r="H209" s="15">
        <v>99</v>
      </c>
      <c r="I209" s="15">
        <v>26.76</v>
      </c>
      <c r="J209" s="15">
        <v>117.9</v>
      </c>
      <c r="K209" s="15">
        <v>80</v>
      </c>
      <c r="L209" s="15">
        <v>10.02</v>
      </c>
      <c r="M209" s="15">
        <v>279.2</v>
      </c>
      <c r="N209" s="15">
        <v>79</v>
      </c>
      <c r="O209" s="15">
        <v>12.56</v>
      </c>
      <c r="P209" s="15">
        <v>13.9</v>
      </c>
      <c r="Q209" s="15">
        <v>11</v>
      </c>
      <c r="R209" s="15">
        <v>3.75</v>
      </c>
      <c r="S209" s="15">
        <v>4</v>
      </c>
      <c r="T209" s="15" t="b">
        <v>1</v>
      </c>
      <c r="U209" s="16" t="s">
        <v>89</v>
      </c>
    </row>
    <row r="210" spans="1:21" ht="13.95" customHeight="1" x14ac:dyDescent="0.3">
      <c r="A210" s="13" t="s">
        <v>74</v>
      </c>
      <c r="B210" s="13">
        <v>106</v>
      </c>
      <c r="C210" s="13">
        <v>415</v>
      </c>
      <c r="D210" s="13" t="s">
        <v>70</v>
      </c>
      <c r="E210" s="13" t="s">
        <v>70</v>
      </c>
      <c r="F210" s="13">
        <v>0</v>
      </c>
      <c r="G210" s="13">
        <v>207.9</v>
      </c>
      <c r="H210" s="13">
        <v>91</v>
      </c>
      <c r="I210" s="13">
        <v>35.340000000000003</v>
      </c>
      <c r="J210" s="13">
        <v>172</v>
      </c>
      <c r="K210" s="13">
        <v>109</v>
      </c>
      <c r="L210" s="13">
        <v>14.62</v>
      </c>
      <c r="M210" s="13">
        <v>191.8</v>
      </c>
      <c r="N210" s="13">
        <v>143</v>
      </c>
      <c r="O210" s="13">
        <v>8.6300000000000008</v>
      </c>
      <c r="P210" s="13">
        <v>14.4</v>
      </c>
      <c r="Q210" s="13">
        <v>7</v>
      </c>
      <c r="R210" s="13">
        <v>3.89</v>
      </c>
      <c r="S210" s="13">
        <v>4</v>
      </c>
      <c r="T210" s="13" t="b">
        <v>0</v>
      </c>
      <c r="U210" s="14" t="s">
        <v>72</v>
      </c>
    </row>
    <row r="211" spans="1:21" ht="13.95" customHeight="1" x14ac:dyDescent="0.3">
      <c r="A211" s="15" t="s">
        <v>116</v>
      </c>
      <c r="B211" s="15">
        <v>82</v>
      </c>
      <c r="C211" s="15">
        <v>408</v>
      </c>
      <c r="D211" s="15" t="s">
        <v>70</v>
      </c>
      <c r="E211" s="15" t="s">
        <v>70</v>
      </c>
      <c r="F211" s="15">
        <v>0</v>
      </c>
      <c r="G211" s="15">
        <v>207</v>
      </c>
      <c r="H211" s="15">
        <v>90</v>
      </c>
      <c r="I211" s="15">
        <v>35.19</v>
      </c>
      <c r="J211" s="15">
        <v>232.9</v>
      </c>
      <c r="K211" s="15">
        <v>83</v>
      </c>
      <c r="L211" s="15">
        <v>19.8</v>
      </c>
      <c r="M211" s="15">
        <v>172.4</v>
      </c>
      <c r="N211" s="15">
        <v>108</v>
      </c>
      <c r="O211" s="15">
        <v>7.76</v>
      </c>
      <c r="P211" s="15">
        <v>9.1</v>
      </c>
      <c r="Q211" s="15">
        <v>8</v>
      </c>
      <c r="R211" s="15">
        <v>2.46</v>
      </c>
      <c r="S211" s="15">
        <v>3</v>
      </c>
      <c r="T211" s="15" t="b">
        <v>0</v>
      </c>
      <c r="U211" s="14" t="s">
        <v>72</v>
      </c>
    </row>
    <row r="212" spans="1:21" ht="13.95" customHeight="1" x14ac:dyDescent="0.3">
      <c r="A212" s="13" t="s">
        <v>86</v>
      </c>
      <c r="B212" s="13">
        <v>97</v>
      </c>
      <c r="C212" s="13">
        <v>415</v>
      </c>
      <c r="D212" s="13" t="s">
        <v>71</v>
      </c>
      <c r="E212" s="13" t="s">
        <v>70</v>
      </c>
      <c r="F212" s="13">
        <v>0</v>
      </c>
      <c r="G212" s="13">
        <v>143.69999999999999</v>
      </c>
      <c r="H212" s="13">
        <v>117</v>
      </c>
      <c r="I212" s="13">
        <v>24.43</v>
      </c>
      <c r="J212" s="13">
        <v>273</v>
      </c>
      <c r="K212" s="13">
        <v>82</v>
      </c>
      <c r="L212" s="13">
        <v>23.21</v>
      </c>
      <c r="M212" s="13">
        <v>178.3</v>
      </c>
      <c r="N212" s="13">
        <v>81</v>
      </c>
      <c r="O212" s="13">
        <v>8.02</v>
      </c>
      <c r="P212" s="13">
        <v>10.9</v>
      </c>
      <c r="Q212" s="13">
        <v>3</v>
      </c>
      <c r="R212" s="13">
        <v>2.94</v>
      </c>
      <c r="S212" s="13">
        <v>0</v>
      </c>
      <c r="T212" s="13" t="b">
        <v>0</v>
      </c>
      <c r="U212" s="14" t="s">
        <v>72</v>
      </c>
    </row>
    <row r="213" spans="1:21" ht="13.95" customHeight="1" x14ac:dyDescent="0.3">
      <c r="A213" s="15" t="s">
        <v>112</v>
      </c>
      <c r="B213" s="15">
        <v>108</v>
      </c>
      <c r="C213" s="15">
        <v>510</v>
      </c>
      <c r="D213" s="15" t="s">
        <v>70</v>
      </c>
      <c r="E213" s="15" t="s">
        <v>70</v>
      </c>
      <c r="F213" s="15">
        <v>0</v>
      </c>
      <c r="G213" s="15">
        <v>138.6</v>
      </c>
      <c r="H213" s="15">
        <v>122</v>
      </c>
      <c r="I213" s="15">
        <v>23.56</v>
      </c>
      <c r="J213" s="15">
        <v>172.3</v>
      </c>
      <c r="K213" s="15">
        <v>117</v>
      </c>
      <c r="L213" s="15">
        <v>14.65</v>
      </c>
      <c r="M213" s="15">
        <v>231.6</v>
      </c>
      <c r="N213" s="15">
        <v>92</v>
      </c>
      <c r="O213" s="15">
        <v>10.42</v>
      </c>
      <c r="P213" s="15">
        <v>9.8000000000000007</v>
      </c>
      <c r="Q213" s="15">
        <v>3</v>
      </c>
      <c r="R213" s="15">
        <v>2.65</v>
      </c>
      <c r="S213" s="15">
        <v>1</v>
      </c>
      <c r="T213" s="15" t="b">
        <v>0</v>
      </c>
      <c r="U213" s="14" t="s">
        <v>72</v>
      </c>
    </row>
    <row r="214" spans="1:21" ht="13.95" customHeight="1" x14ac:dyDescent="0.3">
      <c r="A214" s="13" t="s">
        <v>86</v>
      </c>
      <c r="B214" s="13">
        <v>114</v>
      </c>
      <c r="C214" s="13">
        <v>415</v>
      </c>
      <c r="D214" s="13" t="s">
        <v>70</v>
      </c>
      <c r="E214" s="13" t="s">
        <v>70</v>
      </c>
      <c r="F214" s="13">
        <v>0</v>
      </c>
      <c r="G214" s="13">
        <v>84.7</v>
      </c>
      <c r="H214" s="13">
        <v>118</v>
      </c>
      <c r="I214" s="13">
        <v>14.4</v>
      </c>
      <c r="J214" s="13">
        <v>249.9</v>
      </c>
      <c r="K214" s="13">
        <v>86</v>
      </c>
      <c r="L214" s="13">
        <v>21.24</v>
      </c>
      <c r="M214" s="13">
        <v>193.4</v>
      </c>
      <c r="N214" s="13">
        <v>95</v>
      </c>
      <c r="O214" s="13">
        <v>8.6999999999999993</v>
      </c>
      <c r="P214" s="13">
        <v>14.5</v>
      </c>
      <c r="Q214" s="13">
        <v>8</v>
      </c>
      <c r="R214" s="13">
        <v>3.92</v>
      </c>
      <c r="S214" s="13">
        <v>1</v>
      </c>
      <c r="T214" s="13" t="b">
        <v>0</v>
      </c>
      <c r="U214" s="14" t="s">
        <v>72</v>
      </c>
    </row>
    <row r="215" spans="1:21" ht="13.95" customHeight="1" x14ac:dyDescent="0.3">
      <c r="A215" s="15" t="s">
        <v>104</v>
      </c>
      <c r="B215" s="15">
        <v>59</v>
      </c>
      <c r="C215" s="15">
        <v>510</v>
      </c>
      <c r="D215" s="15" t="s">
        <v>70</v>
      </c>
      <c r="E215" s="15" t="s">
        <v>70</v>
      </c>
      <c r="F215" s="15">
        <v>0</v>
      </c>
      <c r="G215" s="15">
        <v>155.19999999999999</v>
      </c>
      <c r="H215" s="15">
        <v>79</v>
      </c>
      <c r="I215" s="15">
        <v>26.38</v>
      </c>
      <c r="J215" s="15">
        <v>235.3</v>
      </c>
      <c r="K215" s="15">
        <v>123</v>
      </c>
      <c r="L215" s="15">
        <v>20</v>
      </c>
      <c r="M215" s="15">
        <v>169.4</v>
      </c>
      <c r="N215" s="15">
        <v>80</v>
      </c>
      <c r="O215" s="15">
        <v>7.62</v>
      </c>
      <c r="P215" s="15">
        <v>8.6999999999999993</v>
      </c>
      <c r="Q215" s="15">
        <v>4</v>
      </c>
      <c r="R215" s="15">
        <v>2.35</v>
      </c>
      <c r="S215" s="15">
        <v>1</v>
      </c>
      <c r="T215" s="15" t="b">
        <v>0</v>
      </c>
      <c r="U215" s="14" t="s">
        <v>72</v>
      </c>
    </row>
    <row r="216" spans="1:21" ht="13.95" customHeight="1" x14ac:dyDescent="0.3">
      <c r="A216" s="13" t="s">
        <v>109</v>
      </c>
      <c r="B216" s="13">
        <v>24</v>
      </c>
      <c r="C216" s="13">
        <v>510</v>
      </c>
      <c r="D216" s="13" t="s">
        <v>70</v>
      </c>
      <c r="E216" s="13" t="s">
        <v>71</v>
      </c>
      <c r="F216" s="13">
        <v>25</v>
      </c>
      <c r="G216" s="13">
        <v>164.9</v>
      </c>
      <c r="H216" s="13">
        <v>110</v>
      </c>
      <c r="I216" s="13">
        <v>28.03</v>
      </c>
      <c r="J216" s="13">
        <v>209.3</v>
      </c>
      <c r="K216" s="13">
        <v>105</v>
      </c>
      <c r="L216" s="13">
        <v>17.79</v>
      </c>
      <c r="M216" s="13">
        <v>231.2</v>
      </c>
      <c r="N216" s="13">
        <v>55</v>
      </c>
      <c r="O216" s="13">
        <v>10.4</v>
      </c>
      <c r="P216" s="13">
        <v>6.7</v>
      </c>
      <c r="Q216" s="13">
        <v>9</v>
      </c>
      <c r="R216" s="13">
        <v>1.81</v>
      </c>
      <c r="S216" s="13">
        <v>1</v>
      </c>
      <c r="T216" s="13" t="b">
        <v>0</v>
      </c>
      <c r="U216" s="14" t="s">
        <v>72</v>
      </c>
    </row>
    <row r="217" spans="1:21" ht="13.95" customHeight="1" x14ac:dyDescent="0.3">
      <c r="A217" s="15" t="s">
        <v>93</v>
      </c>
      <c r="B217" s="15">
        <v>151</v>
      </c>
      <c r="C217" s="15">
        <v>408</v>
      </c>
      <c r="D217" s="15" t="s">
        <v>70</v>
      </c>
      <c r="E217" s="15" t="s">
        <v>70</v>
      </c>
      <c r="F217" s="15">
        <v>0</v>
      </c>
      <c r="G217" s="15">
        <v>134.5</v>
      </c>
      <c r="H217" s="15">
        <v>88</v>
      </c>
      <c r="I217" s="15">
        <v>22.87</v>
      </c>
      <c r="J217" s="15">
        <v>143.1</v>
      </c>
      <c r="K217" s="15">
        <v>112</v>
      </c>
      <c r="L217" s="15">
        <v>12.16</v>
      </c>
      <c r="M217" s="15">
        <v>223.9</v>
      </c>
      <c r="N217" s="15">
        <v>61</v>
      </c>
      <c r="O217" s="15">
        <v>10.08</v>
      </c>
      <c r="P217" s="15">
        <v>15.4</v>
      </c>
      <c r="Q217" s="15">
        <v>1</v>
      </c>
      <c r="R217" s="15">
        <v>4.16</v>
      </c>
      <c r="S217" s="15">
        <v>1</v>
      </c>
      <c r="T217" s="15" t="b">
        <v>0</v>
      </c>
      <c r="U217" s="14" t="s">
        <v>72</v>
      </c>
    </row>
    <row r="218" spans="1:21" ht="13.95" customHeight="1" x14ac:dyDescent="0.3">
      <c r="A218" s="13" t="s">
        <v>110</v>
      </c>
      <c r="B218" s="13">
        <v>117</v>
      </c>
      <c r="C218" s="13">
        <v>415</v>
      </c>
      <c r="D218" s="13" t="s">
        <v>70</v>
      </c>
      <c r="E218" s="13" t="s">
        <v>70</v>
      </c>
      <c r="F218" s="13">
        <v>0</v>
      </c>
      <c r="G218" s="13">
        <v>143.30000000000001</v>
      </c>
      <c r="H218" s="13">
        <v>103</v>
      </c>
      <c r="I218" s="13">
        <v>24.36</v>
      </c>
      <c r="J218" s="13">
        <v>211.3</v>
      </c>
      <c r="K218" s="13">
        <v>108</v>
      </c>
      <c r="L218" s="13">
        <v>17.96</v>
      </c>
      <c r="M218" s="13">
        <v>185.2</v>
      </c>
      <c r="N218" s="13">
        <v>96</v>
      </c>
      <c r="O218" s="13">
        <v>8.33</v>
      </c>
      <c r="P218" s="13">
        <v>11.5</v>
      </c>
      <c r="Q218" s="13">
        <v>3</v>
      </c>
      <c r="R218" s="13">
        <v>3.11</v>
      </c>
      <c r="S218" s="13">
        <v>1</v>
      </c>
      <c r="T218" s="13" t="b">
        <v>0</v>
      </c>
      <c r="U218" s="14" t="s">
        <v>72</v>
      </c>
    </row>
    <row r="219" spans="1:21" ht="13.95" customHeight="1" x14ac:dyDescent="0.3">
      <c r="A219" s="15" t="s">
        <v>79</v>
      </c>
      <c r="B219" s="15">
        <v>114</v>
      </c>
      <c r="C219" s="15">
        <v>510</v>
      </c>
      <c r="D219" s="15" t="s">
        <v>70</v>
      </c>
      <c r="E219" s="15" t="s">
        <v>71</v>
      </c>
      <c r="F219" s="15">
        <v>30</v>
      </c>
      <c r="G219" s="15">
        <v>206.2</v>
      </c>
      <c r="H219" s="15">
        <v>79</v>
      </c>
      <c r="I219" s="15">
        <v>35.049999999999997</v>
      </c>
      <c r="J219" s="15">
        <v>260</v>
      </c>
      <c r="K219" s="15">
        <v>91</v>
      </c>
      <c r="L219" s="15">
        <v>22.1</v>
      </c>
      <c r="M219" s="15">
        <v>291.60000000000002</v>
      </c>
      <c r="N219" s="15">
        <v>83</v>
      </c>
      <c r="O219" s="15">
        <v>13.12</v>
      </c>
      <c r="P219" s="15">
        <v>11.4</v>
      </c>
      <c r="Q219" s="15">
        <v>6</v>
      </c>
      <c r="R219" s="15">
        <v>3.08</v>
      </c>
      <c r="S219" s="15">
        <v>1</v>
      </c>
      <c r="T219" s="15" t="b">
        <v>0</v>
      </c>
      <c r="U219" s="14" t="s">
        <v>72</v>
      </c>
    </row>
    <row r="220" spans="1:21" ht="13.95" customHeight="1" x14ac:dyDescent="0.3">
      <c r="A220" s="13" t="s">
        <v>80</v>
      </c>
      <c r="B220" s="13">
        <v>114</v>
      </c>
      <c r="C220" s="13">
        <v>510</v>
      </c>
      <c r="D220" s="13" t="s">
        <v>70</v>
      </c>
      <c r="E220" s="13" t="s">
        <v>71</v>
      </c>
      <c r="F220" s="13">
        <v>28</v>
      </c>
      <c r="G220" s="13">
        <v>225.8</v>
      </c>
      <c r="H220" s="13">
        <v>94</v>
      </c>
      <c r="I220" s="13">
        <v>38.39</v>
      </c>
      <c r="J220" s="13">
        <v>193</v>
      </c>
      <c r="K220" s="13">
        <v>117</v>
      </c>
      <c r="L220" s="13">
        <v>16.41</v>
      </c>
      <c r="M220" s="13">
        <v>232.4</v>
      </c>
      <c r="N220" s="13">
        <v>100</v>
      </c>
      <c r="O220" s="13">
        <v>10.46</v>
      </c>
      <c r="P220" s="13">
        <v>8.4</v>
      </c>
      <c r="Q220" s="13">
        <v>9</v>
      </c>
      <c r="R220" s="13">
        <v>2.27</v>
      </c>
      <c r="S220" s="13">
        <v>4</v>
      </c>
      <c r="T220" s="13" t="b">
        <v>0</v>
      </c>
      <c r="U220" s="14" t="s">
        <v>72</v>
      </c>
    </row>
    <row r="221" spans="1:21" ht="13.95" customHeight="1" x14ac:dyDescent="0.3">
      <c r="A221" s="15" t="s">
        <v>94</v>
      </c>
      <c r="B221" s="15">
        <v>119</v>
      </c>
      <c r="C221" s="15">
        <v>408</v>
      </c>
      <c r="D221" s="15" t="s">
        <v>70</v>
      </c>
      <c r="E221" s="15" t="s">
        <v>70</v>
      </c>
      <c r="F221" s="15">
        <v>0</v>
      </c>
      <c r="G221" s="15">
        <v>138.30000000000001</v>
      </c>
      <c r="H221" s="15">
        <v>89</v>
      </c>
      <c r="I221" s="15">
        <v>23.51</v>
      </c>
      <c r="J221" s="15">
        <v>170.5</v>
      </c>
      <c r="K221" s="15">
        <v>78</v>
      </c>
      <c r="L221" s="15">
        <v>14.49</v>
      </c>
      <c r="M221" s="15">
        <v>263.89999999999998</v>
      </c>
      <c r="N221" s="15">
        <v>98</v>
      </c>
      <c r="O221" s="15">
        <v>11.88</v>
      </c>
      <c r="P221" s="15">
        <v>13.5</v>
      </c>
      <c r="Q221" s="15">
        <v>6</v>
      </c>
      <c r="R221" s="15">
        <v>3.65</v>
      </c>
      <c r="S221" s="15">
        <v>3</v>
      </c>
      <c r="T221" s="15" t="b">
        <v>0</v>
      </c>
      <c r="U221" s="14" t="s">
        <v>72</v>
      </c>
    </row>
    <row r="222" spans="1:21" ht="13.95" customHeight="1" x14ac:dyDescent="0.3">
      <c r="A222" s="13" t="s">
        <v>77</v>
      </c>
      <c r="B222" s="13">
        <v>118</v>
      </c>
      <c r="C222" s="13">
        <v>408</v>
      </c>
      <c r="D222" s="13" t="s">
        <v>71</v>
      </c>
      <c r="E222" s="13" t="s">
        <v>70</v>
      </c>
      <c r="F222" s="13">
        <v>0</v>
      </c>
      <c r="G222" s="13">
        <v>160</v>
      </c>
      <c r="H222" s="13">
        <v>123</v>
      </c>
      <c r="I222" s="13">
        <v>27.2</v>
      </c>
      <c r="J222" s="13">
        <v>175.4</v>
      </c>
      <c r="K222" s="13">
        <v>96</v>
      </c>
      <c r="L222" s="13">
        <v>14.91</v>
      </c>
      <c r="M222" s="13">
        <v>184.8</v>
      </c>
      <c r="N222" s="13">
        <v>99</v>
      </c>
      <c r="O222" s="13">
        <v>8.32</v>
      </c>
      <c r="P222" s="13">
        <v>9.9</v>
      </c>
      <c r="Q222" s="13">
        <v>3</v>
      </c>
      <c r="R222" s="13">
        <v>2.67</v>
      </c>
      <c r="S222" s="13">
        <v>2</v>
      </c>
      <c r="T222" s="13" t="b">
        <v>0</v>
      </c>
      <c r="U222" s="14" t="s">
        <v>72</v>
      </c>
    </row>
    <row r="223" spans="1:21" ht="13.95" customHeight="1" x14ac:dyDescent="0.3">
      <c r="A223" s="15" t="s">
        <v>120</v>
      </c>
      <c r="B223" s="15">
        <v>101</v>
      </c>
      <c r="C223" s="15">
        <v>415</v>
      </c>
      <c r="D223" s="15" t="s">
        <v>70</v>
      </c>
      <c r="E223" s="15" t="s">
        <v>70</v>
      </c>
      <c r="F223" s="15">
        <v>0</v>
      </c>
      <c r="G223" s="15">
        <v>206.6</v>
      </c>
      <c r="H223" s="15">
        <v>105</v>
      </c>
      <c r="I223" s="15">
        <v>35.119999999999997</v>
      </c>
      <c r="J223" s="15">
        <v>224.9</v>
      </c>
      <c r="K223" s="15">
        <v>117</v>
      </c>
      <c r="L223" s="15">
        <v>19.12</v>
      </c>
      <c r="M223" s="15">
        <v>249.9</v>
      </c>
      <c r="N223" s="15">
        <v>100</v>
      </c>
      <c r="O223" s="15">
        <v>11.25</v>
      </c>
      <c r="P223" s="15">
        <v>14.6</v>
      </c>
      <c r="Q223" s="15">
        <v>3</v>
      </c>
      <c r="R223" s="15">
        <v>3.94</v>
      </c>
      <c r="S223" s="15">
        <v>0</v>
      </c>
      <c r="T223" s="15" t="b">
        <v>0</v>
      </c>
      <c r="U223" s="14" t="s">
        <v>72</v>
      </c>
    </row>
    <row r="224" spans="1:21" ht="13.95" customHeight="1" x14ac:dyDescent="0.3">
      <c r="A224" s="13" t="s">
        <v>75</v>
      </c>
      <c r="B224" s="13">
        <v>117</v>
      </c>
      <c r="C224" s="13">
        <v>415</v>
      </c>
      <c r="D224" s="13" t="s">
        <v>70</v>
      </c>
      <c r="E224" s="13" t="s">
        <v>70</v>
      </c>
      <c r="F224" s="13">
        <v>0</v>
      </c>
      <c r="G224" s="13">
        <v>134.69999999999999</v>
      </c>
      <c r="H224" s="13">
        <v>121</v>
      </c>
      <c r="I224" s="13">
        <v>22.9</v>
      </c>
      <c r="J224" s="13">
        <v>180</v>
      </c>
      <c r="K224" s="13">
        <v>83</v>
      </c>
      <c r="L224" s="13">
        <v>15.3</v>
      </c>
      <c r="M224" s="13">
        <v>200.9</v>
      </c>
      <c r="N224" s="13">
        <v>104</v>
      </c>
      <c r="O224" s="13">
        <v>9.0399999999999991</v>
      </c>
      <c r="P224" s="13">
        <v>7.7</v>
      </c>
      <c r="Q224" s="13">
        <v>3</v>
      </c>
      <c r="R224" s="13">
        <v>2.08</v>
      </c>
      <c r="S224" s="13">
        <v>1</v>
      </c>
      <c r="T224" s="13" t="b">
        <v>0</v>
      </c>
      <c r="U224" s="14" t="s">
        <v>72</v>
      </c>
    </row>
    <row r="225" spans="1:21" ht="13.95" customHeight="1" x14ac:dyDescent="0.3">
      <c r="A225" s="15" t="s">
        <v>76</v>
      </c>
      <c r="B225" s="15">
        <v>49</v>
      </c>
      <c r="C225" s="15">
        <v>415</v>
      </c>
      <c r="D225" s="15" t="s">
        <v>70</v>
      </c>
      <c r="E225" s="15" t="s">
        <v>71</v>
      </c>
      <c r="F225" s="15">
        <v>28</v>
      </c>
      <c r="G225" s="15">
        <v>214.4</v>
      </c>
      <c r="H225" s="15">
        <v>78</v>
      </c>
      <c r="I225" s="15">
        <v>36.450000000000003</v>
      </c>
      <c r="J225" s="15">
        <v>235.2</v>
      </c>
      <c r="K225" s="15">
        <v>100</v>
      </c>
      <c r="L225" s="15">
        <v>19.989999999999998</v>
      </c>
      <c r="M225" s="15">
        <v>206.2</v>
      </c>
      <c r="N225" s="15">
        <v>107</v>
      </c>
      <c r="O225" s="15">
        <v>9.2799999999999994</v>
      </c>
      <c r="P225" s="15">
        <v>8</v>
      </c>
      <c r="Q225" s="15">
        <v>13</v>
      </c>
      <c r="R225" s="15">
        <v>2.16</v>
      </c>
      <c r="S225" s="15">
        <v>3</v>
      </c>
      <c r="T225" s="15" t="b">
        <v>0</v>
      </c>
      <c r="U225" s="14" t="s">
        <v>72</v>
      </c>
    </row>
    <row r="226" spans="1:21" ht="13.95" customHeight="1" x14ac:dyDescent="0.3">
      <c r="A226" s="13" t="s">
        <v>92</v>
      </c>
      <c r="B226" s="13">
        <v>139</v>
      </c>
      <c r="C226" s="13">
        <v>415</v>
      </c>
      <c r="D226" s="13" t="s">
        <v>70</v>
      </c>
      <c r="E226" s="13" t="s">
        <v>70</v>
      </c>
      <c r="F226" s="13">
        <v>0</v>
      </c>
      <c r="G226" s="13">
        <v>192.8</v>
      </c>
      <c r="H226" s="13">
        <v>104</v>
      </c>
      <c r="I226" s="13">
        <v>32.78</v>
      </c>
      <c r="J226" s="13">
        <v>234.4</v>
      </c>
      <c r="K226" s="13">
        <v>96</v>
      </c>
      <c r="L226" s="13">
        <v>19.920000000000002</v>
      </c>
      <c r="M226" s="13">
        <v>203.2</v>
      </c>
      <c r="N226" s="13">
        <v>101</v>
      </c>
      <c r="O226" s="13">
        <v>9.14</v>
      </c>
      <c r="P226" s="13">
        <v>13</v>
      </c>
      <c r="Q226" s="13">
        <v>3</v>
      </c>
      <c r="R226" s="13">
        <v>3.51</v>
      </c>
      <c r="S226" s="13">
        <v>3</v>
      </c>
      <c r="T226" s="13" t="b">
        <v>0</v>
      </c>
      <c r="U226" s="14" t="s">
        <v>72</v>
      </c>
    </row>
    <row r="227" spans="1:21" ht="13.95" customHeight="1" x14ac:dyDescent="0.3">
      <c r="A227" s="15" t="s">
        <v>120</v>
      </c>
      <c r="B227" s="15">
        <v>92</v>
      </c>
      <c r="C227" s="15">
        <v>408</v>
      </c>
      <c r="D227" s="15" t="s">
        <v>70</v>
      </c>
      <c r="E227" s="15" t="s">
        <v>71</v>
      </c>
      <c r="F227" s="15">
        <v>28</v>
      </c>
      <c r="G227" s="15">
        <v>151.1</v>
      </c>
      <c r="H227" s="15">
        <v>90</v>
      </c>
      <c r="I227" s="15">
        <v>25.69</v>
      </c>
      <c r="J227" s="15">
        <v>194.8</v>
      </c>
      <c r="K227" s="15">
        <v>79</v>
      </c>
      <c r="L227" s="15">
        <v>16.559999999999999</v>
      </c>
      <c r="M227" s="15">
        <v>239.2</v>
      </c>
      <c r="N227" s="15">
        <v>114</v>
      </c>
      <c r="O227" s="15">
        <v>10.76</v>
      </c>
      <c r="P227" s="15">
        <v>10</v>
      </c>
      <c r="Q227" s="15">
        <v>3</v>
      </c>
      <c r="R227" s="15">
        <v>2.7</v>
      </c>
      <c r="S227" s="15">
        <v>1</v>
      </c>
      <c r="T227" s="15" t="b">
        <v>0</v>
      </c>
      <c r="U227" s="14" t="s">
        <v>72</v>
      </c>
    </row>
    <row r="228" spans="1:21" ht="13.95" customHeight="1" x14ac:dyDescent="0.3">
      <c r="A228" s="13" t="s">
        <v>121</v>
      </c>
      <c r="B228" s="13">
        <v>148</v>
      </c>
      <c r="C228" s="13">
        <v>510</v>
      </c>
      <c r="D228" s="13" t="s">
        <v>71</v>
      </c>
      <c r="E228" s="13" t="s">
        <v>70</v>
      </c>
      <c r="F228" s="13">
        <v>0</v>
      </c>
      <c r="G228" s="13">
        <v>218.9</v>
      </c>
      <c r="H228" s="13">
        <v>88</v>
      </c>
      <c r="I228" s="13">
        <v>37.21</v>
      </c>
      <c r="J228" s="13">
        <v>208</v>
      </c>
      <c r="K228" s="13">
        <v>85</v>
      </c>
      <c r="L228" s="13">
        <v>17.68</v>
      </c>
      <c r="M228" s="13">
        <v>203.3</v>
      </c>
      <c r="N228" s="13">
        <v>99</v>
      </c>
      <c r="O228" s="13">
        <v>9.15</v>
      </c>
      <c r="P228" s="13">
        <v>11.1</v>
      </c>
      <c r="Q228" s="13">
        <v>4</v>
      </c>
      <c r="R228" s="13">
        <v>3</v>
      </c>
      <c r="S228" s="13">
        <v>0</v>
      </c>
      <c r="T228" s="13" t="b">
        <v>0</v>
      </c>
      <c r="U228" s="14" t="s">
        <v>72</v>
      </c>
    </row>
    <row r="229" spans="1:21" ht="13.95" customHeight="1" x14ac:dyDescent="0.3">
      <c r="A229" s="15" t="s">
        <v>76</v>
      </c>
      <c r="B229" s="15">
        <v>131</v>
      </c>
      <c r="C229" s="15">
        <v>415</v>
      </c>
      <c r="D229" s="15" t="s">
        <v>70</v>
      </c>
      <c r="E229" s="15" t="s">
        <v>71</v>
      </c>
      <c r="F229" s="15">
        <v>25</v>
      </c>
      <c r="G229" s="15">
        <v>192.7</v>
      </c>
      <c r="H229" s="15">
        <v>85</v>
      </c>
      <c r="I229" s="15">
        <v>32.76</v>
      </c>
      <c r="J229" s="15">
        <v>225.9</v>
      </c>
      <c r="K229" s="15">
        <v>105</v>
      </c>
      <c r="L229" s="15">
        <v>19.2</v>
      </c>
      <c r="M229" s="15">
        <v>254.2</v>
      </c>
      <c r="N229" s="15">
        <v>59</v>
      </c>
      <c r="O229" s="15">
        <v>11.44</v>
      </c>
      <c r="P229" s="15">
        <v>10.9</v>
      </c>
      <c r="Q229" s="15">
        <v>6</v>
      </c>
      <c r="R229" s="15">
        <v>2.94</v>
      </c>
      <c r="S229" s="15">
        <v>2</v>
      </c>
      <c r="T229" s="15" t="b">
        <v>0</v>
      </c>
      <c r="U229" s="14" t="s">
        <v>72</v>
      </c>
    </row>
    <row r="230" spans="1:21" ht="13.95" customHeight="1" x14ac:dyDescent="0.3">
      <c r="A230" s="13" t="s">
        <v>84</v>
      </c>
      <c r="B230" s="13">
        <v>146</v>
      </c>
      <c r="C230" s="13">
        <v>510</v>
      </c>
      <c r="D230" s="13" t="s">
        <v>71</v>
      </c>
      <c r="E230" s="13" t="s">
        <v>70</v>
      </c>
      <c r="F230" s="13">
        <v>0</v>
      </c>
      <c r="G230" s="13">
        <v>204.4</v>
      </c>
      <c r="H230" s="13">
        <v>135</v>
      </c>
      <c r="I230" s="13">
        <v>34.75</v>
      </c>
      <c r="J230" s="13">
        <v>219.1</v>
      </c>
      <c r="K230" s="13">
        <v>90</v>
      </c>
      <c r="L230" s="13">
        <v>18.62</v>
      </c>
      <c r="M230" s="13">
        <v>222.7</v>
      </c>
      <c r="N230" s="13">
        <v>114</v>
      </c>
      <c r="O230" s="13">
        <v>10.02</v>
      </c>
      <c r="P230" s="13">
        <v>10.5</v>
      </c>
      <c r="Q230" s="13">
        <v>6</v>
      </c>
      <c r="R230" s="13">
        <v>2.84</v>
      </c>
      <c r="S230" s="13">
        <v>3</v>
      </c>
      <c r="T230" s="13" t="b">
        <v>0</v>
      </c>
      <c r="U230" s="14" t="s">
        <v>72</v>
      </c>
    </row>
    <row r="231" spans="1:21" ht="13.95" customHeight="1" x14ac:dyDescent="0.3">
      <c r="A231" s="15" t="s">
        <v>97</v>
      </c>
      <c r="B231" s="15">
        <v>48</v>
      </c>
      <c r="C231" s="15">
        <v>415</v>
      </c>
      <c r="D231" s="15" t="s">
        <v>70</v>
      </c>
      <c r="E231" s="15" t="s">
        <v>71</v>
      </c>
      <c r="F231" s="15">
        <v>37</v>
      </c>
      <c r="G231" s="15">
        <v>211.7</v>
      </c>
      <c r="H231" s="15">
        <v>115</v>
      </c>
      <c r="I231" s="15">
        <v>35.99</v>
      </c>
      <c r="J231" s="15">
        <v>159.9</v>
      </c>
      <c r="K231" s="15">
        <v>84</v>
      </c>
      <c r="L231" s="15">
        <v>13.59</v>
      </c>
      <c r="M231" s="15">
        <v>144.1</v>
      </c>
      <c r="N231" s="15">
        <v>80</v>
      </c>
      <c r="O231" s="15">
        <v>6.48</v>
      </c>
      <c r="P231" s="15">
        <v>12.2</v>
      </c>
      <c r="Q231" s="15">
        <v>1</v>
      </c>
      <c r="R231" s="15">
        <v>3.29</v>
      </c>
      <c r="S231" s="15">
        <v>1</v>
      </c>
      <c r="T231" s="15" t="b">
        <v>0</v>
      </c>
      <c r="U231" s="14" t="s">
        <v>72</v>
      </c>
    </row>
    <row r="232" spans="1:21" ht="13.95" customHeight="1" x14ac:dyDescent="0.3">
      <c r="A232" s="13" t="s">
        <v>117</v>
      </c>
      <c r="B232" s="13">
        <v>86</v>
      </c>
      <c r="C232" s="13">
        <v>415</v>
      </c>
      <c r="D232" s="13" t="s">
        <v>70</v>
      </c>
      <c r="E232" s="13" t="s">
        <v>71</v>
      </c>
      <c r="F232" s="13">
        <v>28</v>
      </c>
      <c r="G232" s="13">
        <v>221.6</v>
      </c>
      <c r="H232" s="13">
        <v>74</v>
      </c>
      <c r="I232" s="13">
        <v>37.67</v>
      </c>
      <c r="J232" s="13">
        <v>288.39999999999998</v>
      </c>
      <c r="K232" s="13">
        <v>100</v>
      </c>
      <c r="L232" s="13">
        <v>24.51</v>
      </c>
      <c r="M232" s="13">
        <v>240.3</v>
      </c>
      <c r="N232" s="13">
        <v>105</v>
      </c>
      <c r="O232" s="13">
        <v>10.81</v>
      </c>
      <c r="P232" s="13">
        <v>9</v>
      </c>
      <c r="Q232" s="13">
        <v>2</v>
      </c>
      <c r="R232" s="13">
        <v>2.4300000000000002</v>
      </c>
      <c r="S232" s="13">
        <v>1</v>
      </c>
      <c r="T232" s="13" t="b">
        <v>0</v>
      </c>
      <c r="U232" s="14" t="s">
        <v>72</v>
      </c>
    </row>
    <row r="233" spans="1:21" ht="13.95" customHeight="1" x14ac:dyDescent="0.3">
      <c r="A233" s="15" t="s">
        <v>102</v>
      </c>
      <c r="B233" s="15">
        <v>71</v>
      </c>
      <c r="C233" s="15">
        <v>415</v>
      </c>
      <c r="D233" s="15" t="s">
        <v>70</v>
      </c>
      <c r="E233" s="15" t="s">
        <v>70</v>
      </c>
      <c r="F233" s="15">
        <v>0</v>
      </c>
      <c r="G233" s="15">
        <v>197.9</v>
      </c>
      <c r="H233" s="15">
        <v>108</v>
      </c>
      <c r="I233" s="15">
        <v>33.64</v>
      </c>
      <c r="J233" s="15">
        <v>181.5</v>
      </c>
      <c r="K233" s="15">
        <v>109</v>
      </c>
      <c r="L233" s="15">
        <v>15.43</v>
      </c>
      <c r="M233" s="15">
        <v>281.39999999999998</v>
      </c>
      <c r="N233" s="15">
        <v>56</v>
      </c>
      <c r="O233" s="15">
        <v>12.66</v>
      </c>
      <c r="P233" s="15">
        <v>6.7</v>
      </c>
      <c r="Q233" s="15">
        <v>5</v>
      </c>
      <c r="R233" s="15">
        <v>1.81</v>
      </c>
      <c r="S233" s="15">
        <v>3</v>
      </c>
      <c r="T233" s="15" t="b">
        <v>0</v>
      </c>
      <c r="U233" s="14" t="s">
        <v>72</v>
      </c>
    </row>
    <row r="234" spans="1:21" ht="13.95" customHeight="1" x14ac:dyDescent="0.3">
      <c r="A234" s="13" t="s">
        <v>117</v>
      </c>
      <c r="B234" s="13">
        <v>137</v>
      </c>
      <c r="C234" s="13">
        <v>510</v>
      </c>
      <c r="D234" s="13" t="s">
        <v>70</v>
      </c>
      <c r="E234" s="13" t="s">
        <v>70</v>
      </c>
      <c r="F234" s="13">
        <v>0</v>
      </c>
      <c r="G234" s="13">
        <v>206.4</v>
      </c>
      <c r="H234" s="13">
        <v>122</v>
      </c>
      <c r="I234" s="13">
        <v>35.090000000000003</v>
      </c>
      <c r="J234" s="13">
        <v>128</v>
      </c>
      <c r="K234" s="13">
        <v>102</v>
      </c>
      <c r="L234" s="13">
        <v>10.88</v>
      </c>
      <c r="M234" s="13">
        <v>194.5</v>
      </c>
      <c r="N234" s="13">
        <v>84</v>
      </c>
      <c r="O234" s="13">
        <v>8.75</v>
      </c>
      <c r="P234" s="13">
        <v>8.8000000000000007</v>
      </c>
      <c r="Q234" s="13">
        <v>5</v>
      </c>
      <c r="R234" s="13">
        <v>2.38</v>
      </c>
      <c r="S234" s="13">
        <v>2</v>
      </c>
      <c r="T234" s="13" t="b">
        <v>0</v>
      </c>
      <c r="U234" s="14" t="s">
        <v>72</v>
      </c>
    </row>
    <row r="235" spans="1:21" ht="13.95" customHeight="1" x14ac:dyDescent="0.3">
      <c r="A235" s="15" t="s">
        <v>69</v>
      </c>
      <c r="B235" s="15">
        <v>137</v>
      </c>
      <c r="C235" s="15">
        <v>408</v>
      </c>
      <c r="D235" s="15" t="s">
        <v>70</v>
      </c>
      <c r="E235" s="15" t="s">
        <v>70</v>
      </c>
      <c r="F235" s="15">
        <v>0</v>
      </c>
      <c r="G235" s="15">
        <v>205.9</v>
      </c>
      <c r="H235" s="15">
        <v>88</v>
      </c>
      <c r="I235" s="15">
        <v>35</v>
      </c>
      <c r="J235" s="15">
        <v>209.3</v>
      </c>
      <c r="K235" s="15">
        <v>86</v>
      </c>
      <c r="L235" s="15">
        <v>17.79</v>
      </c>
      <c r="M235" s="15">
        <v>289.89999999999998</v>
      </c>
      <c r="N235" s="15">
        <v>84</v>
      </c>
      <c r="O235" s="15">
        <v>13.05</v>
      </c>
      <c r="P235" s="15">
        <v>14.5</v>
      </c>
      <c r="Q235" s="15">
        <v>4</v>
      </c>
      <c r="R235" s="15">
        <v>3.92</v>
      </c>
      <c r="S235" s="15">
        <v>2</v>
      </c>
      <c r="T235" s="15" t="b">
        <v>0</v>
      </c>
      <c r="U235" s="14" t="s">
        <v>72</v>
      </c>
    </row>
    <row r="236" spans="1:21" ht="13.95" customHeight="1" x14ac:dyDescent="0.3">
      <c r="A236" s="13" t="s">
        <v>76</v>
      </c>
      <c r="B236" s="13">
        <v>167</v>
      </c>
      <c r="C236" s="13">
        <v>510</v>
      </c>
      <c r="D236" s="13" t="s">
        <v>70</v>
      </c>
      <c r="E236" s="13" t="s">
        <v>70</v>
      </c>
      <c r="F236" s="13">
        <v>0</v>
      </c>
      <c r="G236" s="13">
        <v>207.6</v>
      </c>
      <c r="H236" s="13">
        <v>88</v>
      </c>
      <c r="I236" s="13">
        <v>35.29</v>
      </c>
      <c r="J236" s="13">
        <v>132.4</v>
      </c>
      <c r="K236" s="13">
        <v>63</v>
      </c>
      <c r="L236" s="13">
        <v>11.25</v>
      </c>
      <c r="M236" s="13">
        <v>255.2</v>
      </c>
      <c r="N236" s="13">
        <v>98</v>
      </c>
      <c r="O236" s="13">
        <v>11.48</v>
      </c>
      <c r="P236" s="13">
        <v>14.1</v>
      </c>
      <c r="Q236" s="13">
        <v>5</v>
      </c>
      <c r="R236" s="13">
        <v>3.81</v>
      </c>
      <c r="S236" s="13">
        <v>0</v>
      </c>
      <c r="T236" s="13" t="b">
        <v>0</v>
      </c>
      <c r="U236" s="14" t="s">
        <v>72</v>
      </c>
    </row>
    <row r="237" spans="1:21" ht="13.95" customHeight="1" x14ac:dyDescent="0.3">
      <c r="A237" s="15" t="s">
        <v>91</v>
      </c>
      <c r="B237" s="15">
        <v>132</v>
      </c>
      <c r="C237" s="15">
        <v>510</v>
      </c>
      <c r="D237" s="15" t="s">
        <v>70</v>
      </c>
      <c r="E237" s="15" t="s">
        <v>70</v>
      </c>
      <c r="F237" s="15">
        <v>0</v>
      </c>
      <c r="G237" s="15">
        <v>99.5</v>
      </c>
      <c r="H237" s="15">
        <v>110</v>
      </c>
      <c r="I237" s="15">
        <v>16.920000000000002</v>
      </c>
      <c r="J237" s="15">
        <v>129.1</v>
      </c>
      <c r="K237" s="15">
        <v>80</v>
      </c>
      <c r="L237" s="15">
        <v>10.97</v>
      </c>
      <c r="M237" s="15">
        <v>125.1</v>
      </c>
      <c r="N237" s="15">
        <v>124</v>
      </c>
      <c r="O237" s="15">
        <v>5.63</v>
      </c>
      <c r="P237" s="15">
        <v>9.6999999999999993</v>
      </c>
      <c r="Q237" s="15">
        <v>3</v>
      </c>
      <c r="R237" s="15">
        <v>2.62</v>
      </c>
      <c r="S237" s="15">
        <v>0</v>
      </c>
      <c r="T237" s="15" t="b">
        <v>0</v>
      </c>
      <c r="U237" s="14" t="s">
        <v>72</v>
      </c>
    </row>
    <row r="238" spans="1:21" ht="13.95" customHeight="1" x14ac:dyDescent="0.3">
      <c r="A238" s="13" t="s">
        <v>100</v>
      </c>
      <c r="B238" s="13">
        <v>94</v>
      </c>
      <c r="C238" s="13">
        <v>510</v>
      </c>
      <c r="D238" s="13" t="s">
        <v>70</v>
      </c>
      <c r="E238" s="13" t="s">
        <v>70</v>
      </c>
      <c r="F238" s="13">
        <v>0</v>
      </c>
      <c r="G238" s="13">
        <v>177.1</v>
      </c>
      <c r="H238" s="13">
        <v>112</v>
      </c>
      <c r="I238" s="13">
        <v>30.11</v>
      </c>
      <c r="J238" s="13">
        <v>194</v>
      </c>
      <c r="K238" s="13">
        <v>112</v>
      </c>
      <c r="L238" s="13">
        <v>16.489999999999998</v>
      </c>
      <c r="M238" s="13">
        <v>146.69999999999999</v>
      </c>
      <c r="N238" s="13">
        <v>108</v>
      </c>
      <c r="O238" s="13">
        <v>6.6</v>
      </c>
      <c r="P238" s="13">
        <v>5.9</v>
      </c>
      <c r="Q238" s="13">
        <v>4</v>
      </c>
      <c r="R238" s="13">
        <v>1.59</v>
      </c>
      <c r="S238" s="13">
        <v>1</v>
      </c>
      <c r="T238" s="13" t="b">
        <v>0</v>
      </c>
      <c r="U238" s="14" t="s">
        <v>72</v>
      </c>
    </row>
    <row r="239" spans="1:21" ht="13.95" customHeight="1" x14ac:dyDescent="0.3">
      <c r="A239" s="15" t="s">
        <v>100</v>
      </c>
      <c r="B239" s="15">
        <v>96</v>
      </c>
      <c r="C239" s="15">
        <v>510</v>
      </c>
      <c r="D239" s="15" t="s">
        <v>70</v>
      </c>
      <c r="E239" s="15" t="s">
        <v>71</v>
      </c>
      <c r="F239" s="15">
        <v>18</v>
      </c>
      <c r="G239" s="15">
        <v>172.7</v>
      </c>
      <c r="H239" s="15">
        <v>86</v>
      </c>
      <c r="I239" s="15">
        <v>29.36</v>
      </c>
      <c r="J239" s="15">
        <v>133.4</v>
      </c>
      <c r="K239" s="15">
        <v>113</v>
      </c>
      <c r="L239" s="15">
        <v>11.34</v>
      </c>
      <c r="M239" s="15">
        <v>259.5</v>
      </c>
      <c r="N239" s="15">
        <v>70</v>
      </c>
      <c r="O239" s="15">
        <v>11.68</v>
      </c>
      <c r="P239" s="15">
        <v>9.8000000000000007</v>
      </c>
      <c r="Q239" s="15">
        <v>3</v>
      </c>
      <c r="R239" s="15">
        <v>2.65</v>
      </c>
      <c r="S239" s="15">
        <v>1</v>
      </c>
      <c r="T239" s="15" t="b">
        <v>0</v>
      </c>
      <c r="U239" s="14" t="s">
        <v>72</v>
      </c>
    </row>
    <row r="240" spans="1:21" ht="13.95" customHeight="1" x14ac:dyDescent="0.3">
      <c r="A240" s="13" t="s">
        <v>103</v>
      </c>
      <c r="B240" s="13">
        <v>166</v>
      </c>
      <c r="C240" s="13">
        <v>510</v>
      </c>
      <c r="D240" s="13" t="s">
        <v>70</v>
      </c>
      <c r="E240" s="13" t="s">
        <v>70</v>
      </c>
      <c r="F240" s="13">
        <v>0</v>
      </c>
      <c r="G240" s="13">
        <v>204.2</v>
      </c>
      <c r="H240" s="13">
        <v>115</v>
      </c>
      <c r="I240" s="13">
        <v>34.71</v>
      </c>
      <c r="J240" s="13">
        <v>179.9</v>
      </c>
      <c r="K240" s="13">
        <v>152</v>
      </c>
      <c r="L240" s="13">
        <v>15.29</v>
      </c>
      <c r="M240" s="13">
        <v>216.8</v>
      </c>
      <c r="N240" s="13">
        <v>109</v>
      </c>
      <c r="O240" s="13">
        <v>9.76</v>
      </c>
      <c r="P240" s="13">
        <v>9.5</v>
      </c>
      <c r="Q240" s="13">
        <v>5</v>
      </c>
      <c r="R240" s="13">
        <v>2.57</v>
      </c>
      <c r="S240" s="13">
        <v>1</v>
      </c>
      <c r="T240" s="13" t="b">
        <v>0</v>
      </c>
      <c r="U240" s="14" t="s">
        <v>72</v>
      </c>
    </row>
    <row r="241" spans="1:21" ht="13.95" customHeight="1" x14ac:dyDescent="0.3">
      <c r="A241" s="15" t="s">
        <v>112</v>
      </c>
      <c r="B241" s="15">
        <v>74</v>
      </c>
      <c r="C241" s="15">
        <v>415</v>
      </c>
      <c r="D241" s="15" t="s">
        <v>70</v>
      </c>
      <c r="E241" s="15" t="s">
        <v>70</v>
      </c>
      <c r="F241" s="15">
        <v>0</v>
      </c>
      <c r="G241" s="15">
        <v>85.7</v>
      </c>
      <c r="H241" s="15">
        <v>83</v>
      </c>
      <c r="I241" s="15">
        <v>14.57</v>
      </c>
      <c r="J241" s="15">
        <v>247.7</v>
      </c>
      <c r="K241" s="15">
        <v>67</v>
      </c>
      <c r="L241" s="15">
        <v>21.05</v>
      </c>
      <c r="M241" s="15">
        <v>142.4</v>
      </c>
      <c r="N241" s="15">
        <v>85</v>
      </c>
      <c r="O241" s="15">
        <v>6.41</v>
      </c>
      <c r="P241" s="15">
        <v>10.1</v>
      </c>
      <c r="Q241" s="15">
        <v>5</v>
      </c>
      <c r="R241" s="15">
        <v>2.73</v>
      </c>
      <c r="S241" s="15">
        <v>2</v>
      </c>
      <c r="T241" s="15" t="b">
        <v>0</v>
      </c>
      <c r="U241" s="14" t="s">
        <v>72</v>
      </c>
    </row>
    <row r="242" spans="1:21" ht="13.95" customHeight="1" x14ac:dyDescent="0.3">
      <c r="A242" s="13" t="s">
        <v>99</v>
      </c>
      <c r="B242" s="13">
        <v>36</v>
      </c>
      <c r="C242" s="13">
        <v>415</v>
      </c>
      <c r="D242" s="13" t="s">
        <v>70</v>
      </c>
      <c r="E242" s="13" t="s">
        <v>70</v>
      </c>
      <c r="F242" s="13">
        <v>0</v>
      </c>
      <c r="G242" s="13">
        <v>157.6</v>
      </c>
      <c r="H242" s="13">
        <v>117</v>
      </c>
      <c r="I242" s="13">
        <v>26.79</v>
      </c>
      <c r="J242" s="13">
        <v>184.3</v>
      </c>
      <c r="K242" s="13">
        <v>58</v>
      </c>
      <c r="L242" s="13">
        <v>15.67</v>
      </c>
      <c r="M242" s="13">
        <v>240.4</v>
      </c>
      <c r="N242" s="13">
        <v>99</v>
      </c>
      <c r="O242" s="13">
        <v>10.82</v>
      </c>
      <c r="P242" s="13">
        <v>11.9</v>
      </c>
      <c r="Q242" s="13">
        <v>1</v>
      </c>
      <c r="R242" s="13">
        <v>3.21</v>
      </c>
      <c r="S242" s="13">
        <v>0</v>
      </c>
      <c r="T242" s="13" t="b">
        <v>0</v>
      </c>
      <c r="U242" s="14" t="s">
        <v>72</v>
      </c>
    </row>
    <row r="243" spans="1:21" ht="13.95" customHeight="1" x14ac:dyDescent="0.3">
      <c r="A243" s="15" t="s">
        <v>115</v>
      </c>
      <c r="B243" s="15">
        <v>113</v>
      </c>
      <c r="C243" s="15">
        <v>415</v>
      </c>
      <c r="D243" s="15" t="s">
        <v>70</v>
      </c>
      <c r="E243" s="15" t="s">
        <v>70</v>
      </c>
      <c r="F243" s="15">
        <v>0</v>
      </c>
      <c r="G243" s="15">
        <v>215.5</v>
      </c>
      <c r="H243" s="15">
        <v>129</v>
      </c>
      <c r="I243" s="15">
        <v>36.64</v>
      </c>
      <c r="J243" s="15">
        <v>218.7</v>
      </c>
      <c r="K243" s="15">
        <v>117</v>
      </c>
      <c r="L243" s="15">
        <v>18.59</v>
      </c>
      <c r="M243" s="15">
        <v>207.1</v>
      </c>
      <c r="N243" s="15">
        <v>91</v>
      </c>
      <c r="O243" s="15">
        <v>9.32</v>
      </c>
      <c r="P243" s="15">
        <v>6.6</v>
      </c>
      <c r="Q243" s="15">
        <v>9</v>
      </c>
      <c r="R243" s="15">
        <v>1.78</v>
      </c>
      <c r="S243" s="15">
        <v>4</v>
      </c>
      <c r="T243" s="15" t="b">
        <v>0</v>
      </c>
      <c r="U243" s="14" t="s">
        <v>72</v>
      </c>
    </row>
    <row r="244" spans="1:21" ht="13.95" customHeight="1" x14ac:dyDescent="0.3">
      <c r="A244" s="13" t="s">
        <v>98</v>
      </c>
      <c r="B244" s="13">
        <v>67</v>
      </c>
      <c r="C244" s="13">
        <v>415</v>
      </c>
      <c r="D244" s="13" t="s">
        <v>70</v>
      </c>
      <c r="E244" s="13" t="s">
        <v>70</v>
      </c>
      <c r="F244" s="13">
        <v>0</v>
      </c>
      <c r="G244" s="13">
        <v>171.7</v>
      </c>
      <c r="H244" s="13">
        <v>80</v>
      </c>
      <c r="I244" s="13">
        <v>29.19</v>
      </c>
      <c r="J244" s="13">
        <v>110.4</v>
      </c>
      <c r="K244" s="13">
        <v>81</v>
      </c>
      <c r="L244" s="13">
        <v>9.3800000000000008</v>
      </c>
      <c r="M244" s="13">
        <v>195.4</v>
      </c>
      <c r="N244" s="13">
        <v>111</v>
      </c>
      <c r="O244" s="13">
        <v>8.7899999999999991</v>
      </c>
      <c r="P244" s="13">
        <v>11.9</v>
      </c>
      <c r="Q244" s="13">
        <v>4</v>
      </c>
      <c r="R244" s="13">
        <v>3.21</v>
      </c>
      <c r="S244" s="13">
        <v>2</v>
      </c>
      <c r="T244" s="13" t="b">
        <v>0</v>
      </c>
      <c r="U244" s="14" t="s">
        <v>72</v>
      </c>
    </row>
    <row r="245" spans="1:21" ht="13.95" customHeight="1" x14ac:dyDescent="0.3">
      <c r="A245" s="15" t="s">
        <v>81</v>
      </c>
      <c r="B245" s="15">
        <v>158</v>
      </c>
      <c r="C245" s="15">
        <v>415</v>
      </c>
      <c r="D245" s="15" t="s">
        <v>70</v>
      </c>
      <c r="E245" s="15" t="s">
        <v>70</v>
      </c>
      <c r="F245" s="15">
        <v>0</v>
      </c>
      <c r="G245" s="15">
        <v>158</v>
      </c>
      <c r="H245" s="15">
        <v>106</v>
      </c>
      <c r="I245" s="15">
        <v>26.86</v>
      </c>
      <c r="J245" s="15">
        <v>292.5</v>
      </c>
      <c r="K245" s="15">
        <v>114</v>
      </c>
      <c r="L245" s="15">
        <v>24.86</v>
      </c>
      <c r="M245" s="15">
        <v>241.1</v>
      </c>
      <c r="N245" s="15">
        <v>89</v>
      </c>
      <c r="O245" s="15">
        <v>10.85</v>
      </c>
      <c r="P245" s="15">
        <v>9.1</v>
      </c>
      <c r="Q245" s="15">
        <v>4</v>
      </c>
      <c r="R245" s="15">
        <v>2.46</v>
      </c>
      <c r="S245" s="15">
        <v>1</v>
      </c>
      <c r="T245" s="15" t="b">
        <v>0</v>
      </c>
      <c r="U245" s="14" t="s">
        <v>72</v>
      </c>
    </row>
    <row r="246" spans="1:21" ht="13.95" customHeight="1" x14ac:dyDescent="0.3">
      <c r="A246" s="13" t="s">
        <v>90</v>
      </c>
      <c r="B246" s="13">
        <v>136</v>
      </c>
      <c r="C246" s="13">
        <v>510</v>
      </c>
      <c r="D246" s="13" t="s">
        <v>70</v>
      </c>
      <c r="E246" s="13" t="s">
        <v>70</v>
      </c>
      <c r="F246" s="13">
        <v>0</v>
      </c>
      <c r="G246" s="13">
        <v>92</v>
      </c>
      <c r="H246" s="13">
        <v>117</v>
      </c>
      <c r="I246" s="13">
        <v>15.64</v>
      </c>
      <c r="J246" s="13">
        <v>253.6</v>
      </c>
      <c r="K246" s="13">
        <v>77</v>
      </c>
      <c r="L246" s="13">
        <v>21.56</v>
      </c>
      <c r="M246" s="13">
        <v>214.1</v>
      </c>
      <c r="N246" s="13">
        <v>90</v>
      </c>
      <c r="O246" s="13">
        <v>9.6300000000000008</v>
      </c>
      <c r="P246" s="13">
        <v>10.3</v>
      </c>
      <c r="Q246" s="13">
        <v>10</v>
      </c>
      <c r="R246" s="13">
        <v>2.78</v>
      </c>
      <c r="S246" s="13">
        <v>1</v>
      </c>
      <c r="T246" s="13" t="b">
        <v>0</v>
      </c>
      <c r="U246" s="14" t="s">
        <v>72</v>
      </c>
    </row>
    <row r="247" spans="1:21" ht="13.95" customHeight="1" x14ac:dyDescent="0.3">
      <c r="A247" s="15" t="s">
        <v>78</v>
      </c>
      <c r="B247" s="15">
        <v>196</v>
      </c>
      <c r="C247" s="15">
        <v>415</v>
      </c>
      <c r="D247" s="15" t="s">
        <v>70</v>
      </c>
      <c r="E247" s="15" t="s">
        <v>70</v>
      </c>
      <c r="F247" s="15">
        <v>0</v>
      </c>
      <c r="G247" s="15">
        <v>234</v>
      </c>
      <c r="H247" s="15">
        <v>109</v>
      </c>
      <c r="I247" s="15">
        <v>39.78</v>
      </c>
      <c r="J247" s="15">
        <v>249.5</v>
      </c>
      <c r="K247" s="15">
        <v>114</v>
      </c>
      <c r="L247" s="15">
        <v>21.21</v>
      </c>
      <c r="M247" s="15">
        <v>173.1</v>
      </c>
      <c r="N247" s="15">
        <v>70</v>
      </c>
      <c r="O247" s="15">
        <v>7.79</v>
      </c>
      <c r="P247" s="15">
        <v>9.1</v>
      </c>
      <c r="Q247" s="15">
        <v>5</v>
      </c>
      <c r="R247" s="15">
        <v>2.46</v>
      </c>
      <c r="S247" s="15">
        <v>2</v>
      </c>
      <c r="T247" s="15" t="b">
        <v>0</v>
      </c>
      <c r="U247" s="14" t="s">
        <v>72</v>
      </c>
    </row>
    <row r="248" spans="1:21" ht="13.95" customHeight="1" x14ac:dyDescent="0.3">
      <c r="A248" s="13" t="s">
        <v>84</v>
      </c>
      <c r="B248" s="13">
        <v>113</v>
      </c>
      <c r="C248" s="13">
        <v>415</v>
      </c>
      <c r="D248" s="13" t="s">
        <v>70</v>
      </c>
      <c r="E248" s="13" t="s">
        <v>70</v>
      </c>
      <c r="F248" s="13">
        <v>0</v>
      </c>
      <c r="G248" s="13">
        <v>272.10000000000002</v>
      </c>
      <c r="H248" s="13">
        <v>111</v>
      </c>
      <c r="I248" s="13">
        <v>46.26</v>
      </c>
      <c r="J248" s="13">
        <v>268.5</v>
      </c>
      <c r="K248" s="13">
        <v>118</v>
      </c>
      <c r="L248" s="13">
        <v>22.82</v>
      </c>
      <c r="M248" s="13">
        <v>213.8</v>
      </c>
      <c r="N248" s="13">
        <v>105</v>
      </c>
      <c r="O248" s="13">
        <v>9.6199999999999992</v>
      </c>
      <c r="P248" s="13">
        <v>8.5</v>
      </c>
      <c r="Q248" s="13">
        <v>10</v>
      </c>
      <c r="R248" s="13">
        <v>2.2999999999999998</v>
      </c>
      <c r="S248" s="13">
        <v>1</v>
      </c>
      <c r="T248" s="13" t="b">
        <v>1</v>
      </c>
      <c r="U248" s="16" t="s">
        <v>89</v>
      </c>
    </row>
    <row r="249" spans="1:21" ht="13.95" customHeight="1" x14ac:dyDescent="0.3">
      <c r="A249" s="15" t="s">
        <v>80</v>
      </c>
      <c r="B249" s="15">
        <v>112</v>
      </c>
      <c r="C249" s="15">
        <v>510</v>
      </c>
      <c r="D249" s="15" t="s">
        <v>70</v>
      </c>
      <c r="E249" s="15" t="s">
        <v>70</v>
      </c>
      <c r="F249" s="15">
        <v>0</v>
      </c>
      <c r="G249" s="15">
        <v>194.4</v>
      </c>
      <c r="H249" s="15">
        <v>101</v>
      </c>
      <c r="I249" s="15">
        <v>33.049999999999997</v>
      </c>
      <c r="J249" s="15">
        <v>190.3</v>
      </c>
      <c r="K249" s="15">
        <v>82</v>
      </c>
      <c r="L249" s="15">
        <v>16.18</v>
      </c>
      <c r="M249" s="15">
        <v>183.4</v>
      </c>
      <c r="N249" s="15">
        <v>107</v>
      </c>
      <c r="O249" s="15">
        <v>8.25</v>
      </c>
      <c r="P249" s="15">
        <v>11.4</v>
      </c>
      <c r="Q249" s="15">
        <v>2</v>
      </c>
      <c r="R249" s="15">
        <v>3.08</v>
      </c>
      <c r="S249" s="15">
        <v>0</v>
      </c>
      <c r="T249" s="15" t="b">
        <v>0</v>
      </c>
      <c r="U249" s="14" t="s">
        <v>72</v>
      </c>
    </row>
    <row r="250" spans="1:21" ht="13.95" customHeight="1" x14ac:dyDescent="0.3">
      <c r="A250" s="13" t="s">
        <v>106</v>
      </c>
      <c r="B250" s="13">
        <v>209</v>
      </c>
      <c r="C250" s="13">
        <v>415</v>
      </c>
      <c r="D250" s="13" t="s">
        <v>70</v>
      </c>
      <c r="E250" s="13" t="s">
        <v>70</v>
      </c>
      <c r="F250" s="13">
        <v>0</v>
      </c>
      <c r="G250" s="13">
        <v>227.2</v>
      </c>
      <c r="H250" s="13">
        <v>128</v>
      </c>
      <c r="I250" s="13">
        <v>38.619999999999997</v>
      </c>
      <c r="J250" s="13">
        <v>258.39999999999998</v>
      </c>
      <c r="K250" s="13">
        <v>92</v>
      </c>
      <c r="L250" s="13">
        <v>21.96</v>
      </c>
      <c r="M250" s="13">
        <v>183.5</v>
      </c>
      <c r="N250" s="13">
        <v>74</v>
      </c>
      <c r="O250" s="13">
        <v>8.26</v>
      </c>
      <c r="P250" s="13">
        <v>8.9</v>
      </c>
      <c r="Q250" s="13">
        <v>4</v>
      </c>
      <c r="R250" s="13">
        <v>2.4</v>
      </c>
      <c r="S250" s="13">
        <v>3</v>
      </c>
      <c r="T250" s="13" t="b">
        <v>0</v>
      </c>
      <c r="U250" s="14" t="s">
        <v>72</v>
      </c>
    </row>
    <row r="251" spans="1:21" ht="13.95" customHeight="1" x14ac:dyDescent="0.3">
      <c r="A251" s="15" t="s">
        <v>109</v>
      </c>
      <c r="B251" s="15">
        <v>62</v>
      </c>
      <c r="C251" s="15">
        <v>415</v>
      </c>
      <c r="D251" s="15" t="s">
        <v>70</v>
      </c>
      <c r="E251" s="15" t="s">
        <v>70</v>
      </c>
      <c r="F251" s="15">
        <v>0</v>
      </c>
      <c r="G251" s="15">
        <v>248.7</v>
      </c>
      <c r="H251" s="15">
        <v>109</v>
      </c>
      <c r="I251" s="15">
        <v>42.28</v>
      </c>
      <c r="J251" s="15">
        <v>220</v>
      </c>
      <c r="K251" s="15">
        <v>118</v>
      </c>
      <c r="L251" s="15">
        <v>18.7</v>
      </c>
      <c r="M251" s="15">
        <v>265.7</v>
      </c>
      <c r="N251" s="15">
        <v>78</v>
      </c>
      <c r="O251" s="15">
        <v>11.96</v>
      </c>
      <c r="P251" s="15">
        <v>13.2</v>
      </c>
      <c r="Q251" s="15">
        <v>2</v>
      </c>
      <c r="R251" s="15">
        <v>3.56</v>
      </c>
      <c r="S251" s="15">
        <v>1</v>
      </c>
      <c r="T251" s="15" t="b">
        <v>1</v>
      </c>
      <c r="U251" s="16" t="s">
        <v>89</v>
      </c>
    </row>
    <row r="252" spans="1:21" ht="13.95" customHeight="1" x14ac:dyDescent="0.3">
      <c r="A252" s="13" t="s">
        <v>86</v>
      </c>
      <c r="B252" s="13">
        <v>110</v>
      </c>
      <c r="C252" s="13">
        <v>415</v>
      </c>
      <c r="D252" s="13" t="s">
        <v>70</v>
      </c>
      <c r="E252" s="13" t="s">
        <v>71</v>
      </c>
      <c r="F252" s="13">
        <v>38</v>
      </c>
      <c r="G252" s="13">
        <v>236.3</v>
      </c>
      <c r="H252" s="13">
        <v>102</v>
      </c>
      <c r="I252" s="13">
        <v>40.17</v>
      </c>
      <c r="J252" s="13">
        <v>195.9</v>
      </c>
      <c r="K252" s="13">
        <v>112</v>
      </c>
      <c r="L252" s="13">
        <v>16.649999999999999</v>
      </c>
      <c r="M252" s="13">
        <v>183.5</v>
      </c>
      <c r="N252" s="13">
        <v>82</v>
      </c>
      <c r="O252" s="13">
        <v>8.26</v>
      </c>
      <c r="P252" s="13">
        <v>9.6999999999999993</v>
      </c>
      <c r="Q252" s="13">
        <v>6</v>
      </c>
      <c r="R252" s="13">
        <v>2.62</v>
      </c>
      <c r="S252" s="13">
        <v>1</v>
      </c>
      <c r="T252" s="13" t="b">
        <v>0</v>
      </c>
      <c r="U252" s="14" t="s">
        <v>72</v>
      </c>
    </row>
    <row r="253" spans="1:21" ht="13.95" customHeight="1" x14ac:dyDescent="0.3">
      <c r="A253" s="15" t="s">
        <v>85</v>
      </c>
      <c r="B253" s="15">
        <v>16</v>
      </c>
      <c r="C253" s="15">
        <v>510</v>
      </c>
      <c r="D253" s="15" t="s">
        <v>70</v>
      </c>
      <c r="E253" s="15" t="s">
        <v>70</v>
      </c>
      <c r="F253" s="15">
        <v>0</v>
      </c>
      <c r="G253" s="15">
        <v>205.6</v>
      </c>
      <c r="H253" s="15">
        <v>69</v>
      </c>
      <c r="I253" s="15">
        <v>34.950000000000003</v>
      </c>
      <c r="J253" s="15">
        <v>169.5</v>
      </c>
      <c r="K253" s="15">
        <v>93</v>
      </c>
      <c r="L253" s="15">
        <v>14.41</v>
      </c>
      <c r="M253" s="15">
        <v>220.1</v>
      </c>
      <c r="N253" s="15">
        <v>64</v>
      </c>
      <c r="O253" s="15">
        <v>9.9</v>
      </c>
      <c r="P253" s="15">
        <v>10.9</v>
      </c>
      <c r="Q253" s="15">
        <v>3</v>
      </c>
      <c r="R253" s="15">
        <v>2.94</v>
      </c>
      <c r="S253" s="15">
        <v>0</v>
      </c>
      <c r="T253" s="15" t="b">
        <v>0</v>
      </c>
      <c r="U253" s="14" t="s">
        <v>72</v>
      </c>
    </row>
    <row r="254" spans="1:21" ht="13.95" customHeight="1" x14ac:dyDescent="0.3">
      <c r="A254" s="13" t="s">
        <v>77</v>
      </c>
      <c r="B254" s="13">
        <v>73</v>
      </c>
      <c r="C254" s="13">
        <v>408</v>
      </c>
      <c r="D254" s="13" t="s">
        <v>70</v>
      </c>
      <c r="E254" s="13" t="s">
        <v>70</v>
      </c>
      <c r="F254" s="13">
        <v>0</v>
      </c>
      <c r="G254" s="13">
        <v>94.1</v>
      </c>
      <c r="H254" s="13">
        <v>136</v>
      </c>
      <c r="I254" s="13">
        <v>16</v>
      </c>
      <c r="J254" s="13">
        <v>280.3</v>
      </c>
      <c r="K254" s="13">
        <v>122</v>
      </c>
      <c r="L254" s="13">
        <v>23.83</v>
      </c>
      <c r="M254" s="13">
        <v>205</v>
      </c>
      <c r="N254" s="13">
        <v>77</v>
      </c>
      <c r="O254" s="13">
        <v>9.23</v>
      </c>
      <c r="P254" s="13">
        <v>9.8000000000000007</v>
      </c>
      <c r="Q254" s="13">
        <v>4</v>
      </c>
      <c r="R254" s="13">
        <v>2.65</v>
      </c>
      <c r="S254" s="13">
        <v>0</v>
      </c>
      <c r="T254" s="13" t="b">
        <v>0</v>
      </c>
      <c r="U254" s="14" t="s">
        <v>72</v>
      </c>
    </row>
    <row r="255" spans="1:21" ht="13.95" customHeight="1" x14ac:dyDescent="0.3">
      <c r="A255" s="15" t="s">
        <v>83</v>
      </c>
      <c r="B255" s="15">
        <v>128</v>
      </c>
      <c r="C255" s="15">
        <v>408</v>
      </c>
      <c r="D255" s="15" t="s">
        <v>70</v>
      </c>
      <c r="E255" s="15" t="s">
        <v>70</v>
      </c>
      <c r="F255" s="15">
        <v>0</v>
      </c>
      <c r="G255" s="15">
        <v>125.2</v>
      </c>
      <c r="H255" s="15">
        <v>99</v>
      </c>
      <c r="I255" s="15">
        <v>21.28</v>
      </c>
      <c r="J255" s="15">
        <v>205.4</v>
      </c>
      <c r="K255" s="15">
        <v>107</v>
      </c>
      <c r="L255" s="15">
        <v>17.46</v>
      </c>
      <c r="M255" s="15">
        <v>254.4</v>
      </c>
      <c r="N255" s="15">
        <v>111</v>
      </c>
      <c r="O255" s="15">
        <v>11.45</v>
      </c>
      <c r="P255" s="15">
        <v>18.899999999999999</v>
      </c>
      <c r="Q255" s="15">
        <v>2</v>
      </c>
      <c r="R255" s="15">
        <v>5.0999999999999996</v>
      </c>
      <c r="S255" s="15">
        <v>0</v>
      </c>
      <c r="T255" s="15" t="b">
        <v>0</v>
      </c>
      <c r="U255" s="14" t="s">
        <v>72</v>
      </c>
    </row>
    <row r="256" spans="1:21" ht="13.95" customHeight="1" x14ac:dyDescent="0.3">
      <c r="A256" s="13" t="s">
        <v>77</v>
      </c>
      <c r="B256" s="13">
        <v>39</v>
      </c>
      <c r="C256" s="13">
        <v>408</v>
      </c>
      <c r="D256" s="13" t="s">
        <v>70</v>
      </c>
      <c r="E256" s="13" t="s">
        <v>70</v>
      </c>
      <c r="F256" s="13">
        <v>0</v>
      </c>
      <c r="G256" s="13">
        <v>60.4</v>
      </c>
      <c r="H256" s="13">
        <v>158</v>
      </c>
      <c r="I256" s="13">
        <v>10.27</v>
      </c>
      <c r="J256" s="13">
        <v>306.2</v>
      </c>
      <c r="K256" s="13">
        <v>120</v>
      </c>
      <c r="L256" s="13">
        <v>26.03</v>
      </c>
      <c r="M256" s="13">
        <v>123.9</v>
      </c>
      <c r="N256" s="13">
        <v>46</v>
      </c>
      <c r="O256" s="13">
        <v>5.58</v>
      </c>
      <c r="P256" s="13">
        <v>12.4</v>
      </c>
      <c r="Q256" s="13">
        <v>3</v>
      </c>
      <c r="R256" s="13">
        <v>3.35</v>
      </c>
      <c r="S256" s="13">
        <v>1</v>
      </c>
      <c r="T256" s="13" t="b">
        <v>0</v>
      </c>
      <c r="U256" s="14" t="s">
        <v>72</v>
      </c>
    </row>
    <row r="257" spans="1:21" ht="13.95" customHeight="1" x14ac:dyDescent="0.3">
      <c r="A257" s="15" t="s">
        <v>96</v>
      </c>
      <c r="B257" s="15">
        <v>103</v>
      </c>
      <c r="C257" s="15">
        <v>415</v>
      </c>
      <c r="D257" s="15" t="s">
        <v>70</v>
      </c>
      <c r="E257" s="15" t="s">
        <v>71</v>
      </c>
      <c r="F257" s="15">
        <v>28</v>
      </c>
      <c r="G257" s="15">
        <v>121</v>
      </c>
      <c r="H257" s="15">
        <v>105</v>
      </c>
      <c r="I257" s="15">
        <v>20.57</v>
      </c>
      <c r="J257" s="15">
        <v>270.39999999999998</v>
      </c>
      <c r="K257" s="15">
        <v>100</v>
      </c>
      <c r="L257" s="15">
        <v>22.98</v>
      </c>
      <c r="M257" s="15">
        <v>160.5</v>
      </c>
      <c r="N257" s="15">
        <v>76</v>
      </c>
      <c r="O257" s="15">
        <v>7.22</v>
      </c>
      <c r="P257" s="15">
        <v>7.7</v>
      </c>
      <c r="Q257" s="15">
        <v>4</v>
      </c>
      <c r="R257" s="15">
        <v>2.08</v>
      </c>
      <c r="S257" s="15">
        <v>2</v>
      </c>
      <c r="T257" s="15" t="b">
        <v>0</v>
      </c>
      <c r="U257" s="14" t="s">
        <v>72</v>
      </c>
    </row>
    <row r="258" spans="1:21" ht="13.95" customHeight="1" x14ac:dyDescent="0.3">
      <c r="A258" s="13" t="s">
        <v>80</v>
      </c>
      <c r="B258" s="13">
        <v>119</v>
      </c>
      <c r="C258" s="13">
        <v>415</v>
      </c>
      <c r="D258" s="13" t="s">
        <v>70</v>
      </c>
      <c r="E258" s="13" t="s">
        <v>71</v>
      </c>
      <c r="F258" s="13">
        <v>29</v>
      </c>
      <c r="G258" s="13">
        <v>117.8</v>
      </c>
      <c r="H258" s="13">
        <v>66</v>
      </c>
      <c r="I258" s="13">
        <v>20.03</v>
      </c>
      <c r="J258" s="13">
        <v>256.8</v>
      </c>
      <c r="K258" s="13">
        <v>114</v>
      </c>
      <c r="L258" s="13">
        <v>21.83</v>
      </c>
      <c r="M258" s="13">
        <v>147.6</v>
      </c>
      <c r="N258" s="13">
        <v>76</v>
      </c>
      <c r="O258" s="13">
        <v>6.64</v>
      </c>
      <c r="P258" s="13">
        <v>7.6</v>
      </c>
      <c r="Q258" s="13">
        <v>3</v>
      </c>
      <c r="R258" s="13">
        <v>2.0499999999999998</v>
      </c>
      <c r="S258" s="13">
        <v>3</v>
      </c>
      <c r="T258" s="13" t="b">
        <v>0</v>
      </c>
      <c r="U258" s="14" t="s">
        <v>72</v>
      </c>
    </row>
    <row r="259" spans="1:21" ht="13.95" customHeight="1" x14ac:dyDescent="0.3">
      <c r="A259" s="15" t="s">
        <v>83</v>
      </c>
      <c r="B259" s="15">
        <v>173</v>
      </c>
      <c r="C259" s="15">
        <v>510</v>
      </c>
      <c r="D259" s="15" t="s">
        <v>70</v>
      </c>
      <c r="E259" s="15" t="s">
        <v>71</v>
      </c>
      <c r="F259" s="15">
        <v>21</v>
      </c>
      <c r="G259" s="15">
        <v>232.4</v>
      </c>
      <c r="H259" s="15">
        <v>96</v>
      </c>
      <c r="I259" s="15">
        <v>39.51</v>
      </c>
      <c r="J259" s="15">
        <v>211.9</v>
      </c>
      <c r="K259" s="15">
        <v>118</v>
      </c>
      <c r="L259" s="15">
        <v>18.010000000000002</v>
      </c>
      <c r="M259" s="15">
        <v>273</v>
      </c>
      <c r="N259" s="15">
        <v>102</v>
      </c>
      <c r="O259" s="15">
        <v>12.29</v>
      </c>
      <c r="P259" s="15">
        <v>5</v>
      </c>
      <c r="Q259" s="15">
        <v>5</v>
      </c>
      <c r="R259" s="15">
        <v>1.35</v>
      </c>
      <c r="S259" s="15">
        <v>3</v>
      </c>
      <c r="T259" s="15" t="b">
        <v>0</v>
      </c>
      <c r="U259" s="14" t="s">
        <v>72</v>
      </c>
    </row>
    <row r="260" spans="1:21" ht="13.95" customHeight="1" x14ac:dyDescent="0.3">
      <c r="A260" s="13" t="s">
        <v>106</v>
      </c>
      <c r="B260" s="13">
        <v>128</v>
      </c>
      <c r="C260" s="13">
        <v>510</v>
      </c>
      <c r="D260" s="13" t="s">
        <v>71</v>
      </c>
      <c r="E260" s="13" t="s">
        <v>71</v>
      </c>
      <c r="F260" s="13">
        <v>32</v>
      </c>
      <c r="G260" s="13">
        <v>223.5</v>
      </c>
      <c r="H260" s="13">
        <v>81</v>
      </c>
      <c r="I260" s="13">
        <v>38</v>
      </c>
      <c r="J260" s="13">
        <v>188.8</v>
      </c>
      <c r="K260" s="13">
        <v>74</v>
      </c>
      <c r="L260" s="13">
        <v>16.05</v>
      </c>
      <c r="M260" s="13">
        <v>154.9</v>
      </c>
      <c r="N260" s="13">
        <v>101</v>
      </c>
      <c r="O260" s="13">
        <v>6.97</v>
      </c>
      <c r="P260" s="13">
        <v>9.4</v>
      </c>
      <c r="Q260" s="13">
        <v>2</v>
      </c>
      <c r="R260" s="13">
        <v>2.54</v>
      </c>
      <c r="S260" s="13">
        <v>2</v>
      </c>
      <c r="T260" s="13" t="b">
        <v>1</v>
      </c>
      <c r="U260" s="16" t="s">
        <v>89</v>
      </c>
    </row>
    <row r="261" spans="1:21" ht="13.95" customHeight="1" x14ac:dyDescent="0.3">
      <c r="A261" s="15" t="s">
        <v>77</v>
      </c>
      <c r="B261" s="15">
        <v>86</v>
      </c>
      <c r="C261" s="15">
        <v>510</v>
      </c>
      <c r="D261" s="15" t="s">
        <v>70</v>
      </c>
      <c r="E261" s="15" t="s">
        <v>70</v>
      </c>
      <c r="F261" s="15">
        <v>0</v>
      </c>
      <c r="G261" s="15">
        <v>176.3</v>
      </c>
      <c r="H261" s="15">
        <v>79</v>
      </c>
      <c r="I261" s="15">
        <v>29.97</v>
      </c>
      <c r="J261" s="15">
        <v>259.2</v>
      </c>
      <c r="K261" s="15">
        <v>97</v>
      </c>
      <c r="L261" s="15">
        <v>22.03</v>
      </c>
      <c r="M261" s="15">
        <v>287.39999999999998</v>
      </c>
      <c r="N261" s="15">
        <v>78</v>
      </c>
      <c r="O261" s="15">
        <v>12.93</v>
      </c>
      <c r="P261" s="15">
        <v>6.2</v>
      </c>
      <c r="Q261" s="15">
        <v>3</v>
      </c>
      <c r="R261" s="15">
        <v>1.67</v>
      </c>
      <c r="S261" s="15">
        <v>0</v>
      </c>
      <c r="T261" s="15" t="b">
        <v>0</v>
      </c>
      <c r="U261" s="14" t="s">
        <v>72</v>
      </c>
    </row>
    <row r="262" spans="1:21" ht="13.95" customHeight="1" x14ac:dyDescent="0.3">
      <c r="A262" s="13" t="s">
        <v>92</v>
      </c>
      <c r="B262" s="13">
        <v>114</v>
      </c>
      <c r="C262" s="13">
        <v>415</v>
      </c>
      <c r="D262" s="13" t="s">
        <v>70</v>
      </c>
      <c r="E262" s="13" t="s">
        <v>71</v>
      </c>
      <c r="F262" s="13">
        <v>32</v>
      </c>
      <c r="G262" s="13">
        <v>125.2</v>
      </c>
      <c r="H262" s="13">
        <v>79</v>
      </c>
      <c r="I262" s="13">
        <v>21.28</v>
      </c>
      <c r="J262" s="13">
        <v>177.8</v>
      </c>
      <c r="K262" s="13">
        <v>105</v>
      </c>
      <c r="L262" s="13">
        <v>15.11</v>
      </c>
      <c r="M262" s="13">
        <v>232.4</v>
      </c>
      <c r="N262" s="13">
        <v>89</v>
      </c>
      <c r="O262" s="13">
        <v>10.46</v>
      </c>
      <c r="P262" s="13">
        <v>12.9</v>
      </c>
      <c r="Q262" s="13">
        <v>3</v>
      </c>
      <c r="R262" s="13">
        <v>3.48</v>
      </c>
      <c r="S262" s="13">
        <v>1</v>
      </c>
      <c r="T262" s="13" t="b">
        <v>0</v>
      </c>
      <c r="U262" s="14" t="s">
        <v>72</v>
      </c>
    </row>
    <row r="263" spans="1:21" ht="13.95" customHeight="1" x14ac:dyDescent="0.3">
      <c r="A263" s="15" t="s">
        <v>85</v>
      </c>
      <c r="B263" s="15">
        <v>104</v>
      </c>
      <c r="C263" s="15">
        <v>408</v>
      </c>
      <c r="D263" s="15" t="s">
        <v>70</v>
      </c>
      <c r="E263" s="15" t="s">
        <v>70</v>
      </c>
      <c r="F263" s="15">
        <v>0</v>
      </c>
      <c r="G263" s="15">
        <v>138.69999999999999</v>
      </c>
      <c r="H263" s="15">
        <v>107</v>
      </c>
      <c r="I263" s="15">
        <v>23.58</v>
      </c>
      <c r="J263" s="15">
        <v>256.89999999999998</v>
      </c>
      <c r="K263" s="15">
        <v>113</v>
      </c>
      <c r="L263" s="15">
        <v>21.84</v>
      </c>
      <c r="M263" s="15">
        <v>234.9</v>
      </c>
      <c r="N263" s="15">
        <v>74</v>
      </c>
      <c r="O263" s="15">
        <v>10.57</v>
      </c>
      <c r="P263" s="15">
        <v>10</v>
      </c>
      <c r="Q263" s="15">
        <v>3</v>
      </c>
      <c r="R263" s="15">
        <v>2.7</v>
      </c>
      <c r="S263" s="15">
        <v>0</v>
      </c>
      <c r="T263" s="15" t="b">
        <v>0</v>
      </c>
      <c r="U263" s="14" t="s">
        <v>72</v>
      </c>
    </row>
    <row r="264" spans="1:21" ht="13.95" customHeight="1" x14ac:dyDescent="0.3">
      <c r="A264" s="13" t="s">
        <v>101</v>
      </c>
      <c r="B264" s="13">
        <v>148</v>
      </c>
      <c r="C264" s="13">
        <v>415</v>
      </c>
      <c r="D264" s="13" t="s">
        <v>70</v>
      </c>
      <c r="E264" s="13" t="s">
        <v>70</v>
      </c>
      <c r="F264" s="13">
        <v>0</v>
      </c>
      <c r="G264" s="13">
        <v>86.3</v>
      </c>
      <c r="H264" s="13">
        <v>134</v>
      </c>
      <c r="I264" s="13">
        <v>14.67</v>
      </c>
      <c r="J264" s="13">
        <v>246.6</v>
      </c>
      <c r="K264" s="13">
        <v>92</v>
      </c>
      <c r="L264" s="13">
        <v>20.96</v>
      </c>
      <c r="M264" s="13">
        <v>251.6</v>
      </c>
      <c r="N264" s="13">
        <v>91</v>
      </c>
      <c r="O264" s="13">
        <v>11.32</v>
      </c>
      <c r="P264" s="13">
        <v>11.3</v>
      </c>
      <c r="Q264" s="13">
        <v>4</v>
      </c>
      <c r="R264" s="13">
        <v>3.05</v>
      </c>
      <c r="S264" s="13">
        <v>1</v>
      </c>
      <c r="T264" s="13" t="b">
        <v>0</v>
      </c>
      <c r="U264" s="14" t="s">
        <v>72</v>
      </c>
    </row>
    <row r="265" spans="1:21" ht="13.95" customHeight="1" x14ac:dyDescent="0.3">
      <c r="A265" s="15" t="s">
        <v>85</v>
      </c>
      <c r="B265" s="15">
        <v>129</v>
      </c>
      <c r="C265" s="15">
        <v>408</v>
      </c>
      <c r="D265" s="15" t="s">
        <v>70</v>
      </c>
      <c r="E265" s="15" t="s">
        <v>70</v>
      </c>
      <c r="F265" s="15">
        <v>0</v>
      </c>
      <c r="G265" s="15">
        <v>207</v>
      </c>
      <c r="H265" s="15">
        <v>91</v>
      </c>
      <c r="I265" s="15">
        <v>35.19</v>
      </c>
      <c r="J265" s="15">
        <v>154.9</v>
      </c>
      <c r="K265" s="15">
        <v>121</v>
      </c>
      <c r="L265" s="15">
        <v>13.17</v>
      </c>
      <c r="M265" s="15">
        <v>245.1</v>
      </c>
      <c r="N265" s="15">
        <v>112</v>
      </c>
      <c r="O265" s="15">
        <v>11.03</v>
      </c>
      <c r="P265" s="15">
        <v>13.4</v>
      </c>
      <c r="Q265" s="15">
        <v>5</v>
      </c>
      <c r="R265" s="15">
        <v>3.62</v>
      </c>
      <c r="S265" s="15">
        <v>3</v>
      </c>
      <c r="T265" s="15" t="b">
        <v>0</v>
      </c>
      <c r="U265" s="14" t="s">
        <v>72</v>
      </c>
    </row>
    <row r="266" spans="1:21" ht="13.95" customHeight="1" x14ac:dyDescent="0.3">
      <c r="A266" s="13" t="s">
        <v>115</v>
      </c>
      <c r="B266" s="13">
        <v>100</v>
      </c>
      <c r="C266" s="13">
        <v>510</v>
      </c>
      <c r="D266" s="13" t="s">
        <v>70</v>
      </c>
      <c r="E266" s="13" t="s">
        <v>71</v>
      </c>
      <c r="F266" s="13">
        <v>30</v>
      </c>
      <c r="G266" s="13">
        <v>58.8</v>
      </c>
      <c r="H266" s="13">
        <v>104</v>
      </c>
      <c r="I266" s="13">
        <v>10</v>
      </c>
      <c r="J266" s="13">
        <v>219.5</v>
      </c>
      <c r="K266" s="13">
        <v>107</v>
      </c>
      <c r="L266" s="13">
        <v>18.66</v>
      </c>
      <c r="M266" s="13">
        <v>152.30000000000001</v>
      </c>
      <c r="N266" s="13">
        <v>118</v>
      </c>
      <c r="O266" s="13">
        <v>6.85</v>
      </c>
      <c r="P266" s="13">
        <v>7.1</v>
      </c>
      <c r="Q266" s="13">
        <v>3</v>
      </c>
      <c r="R266" s="13">
        <v>1.92</v>
      </c>
      <c r="S266" s="13">
        <v>0</v>
      </c>
      <c r="T266" s="13" t="b">
        <v>0</v>
      </c>
      <c r="U266" s="14" t="s">
        <v>72</v>
      </c>
    </row>
    <row r="267" spans="1:21" ht="13.95" customHeight="1" x14ac:dyDescent="0.3">
      <c r="A267" s="15" t="s">
        <v>96</v>
      </c>
      <c r="B267" s="15">
        <v>143</v>
      </c>
      <c r="C267" s="15">
        <v>408</v>
      </c>
      <c r="D267" s="15" t="s">
        <v>70</v>
      </c>
      <c r="E267" s="15" t="s">
        <v>71</v>
      </c>
      <c r="F267" s="15">
        <v>33</v>
      </c>
      <c r="G267" s="15">
        <v>239.2</v>
      </c>
      <c r="H267" s="15">
        <v>109</v>
      </c>
      <c r="I267" s="15">
        <v>40.659999999999997</v>
      </c>
      <c r="J267" s="15">
        <v>235.5</v>
      </c>
      <c r="K267" s="15">
        <v>112</v>
      </c>
      <c r="L267" s="15">
        <v>20.02</v>
      </c>
      <c r="M267" s="15">
        <v>156.30000000000001</v>
      </c>
      <c r="N267" s="15">
        <v>95</v>
      </c>
      <c r="O267" s="15">
        <v>7.03</v>
      </c>
      <c r="P267" s="15">
        <v>9.5</v>
      </c>
      <c r="Q267" s="15">
        <v>4</v>
      </c>
      <c r="R267" s="15">
        <v>2.57</v>
      </c>
      <c r="S267" s="15">
        <v>1</v>
      </c>
      <c r="T267" s="15" t="b">
        <v>0</v>
      </c>
      <c r="U267" s="14" t="s">
        <v>72</v>
      </c>
    </row>
    <row r="268" spans="1:21" ht="13.95" customHeight="1" x14ac:dyDescent="0.3">
      <c r="A268" s="13" t="s">
        <v>81</v>
      </c>
      <c r="B268" s="13">
        <v>76</v>
      </c>
      <c r="C268" s="13">
        <v>510</v>
      </c>
      <c r="D268" s="13" t="s">
        <v>70</v>
      </c>
      <c r="E268" s="13" t="s">
        <v>70</v>
      </c>
      <c r="F268" s="13">
        <v>0</v>
      </c>
      <c r="G268" s="13">
        <v>198.3</v>
      </c>
      <c r="H268" s="13">
        <v>130</v>
      </c>
      <c r="I268" s="13">
        <v>33.71</v>
      </c>
      <c r="J268" s="13">
        <v>217.1</v>
      </c>
      <c r="K268" s="13">
        <v>86</v>
      </c>
      <c r="L268" s="13">
        <v>18.45</v>
      </c>
      <c r="M268" s="13">
        <v>188.4</v>
      </c>
      <c r="N268" s="13">
        <v>96</v>
      </c>
      <c r="O268" s="13">
        <v>8.48</v>
      </c>
      <c r="P268" s="13">
        <v>12.5</v>
      </c>
      <c r="Q268" s="13">
        <v>3</v>
      </c>
      <c r="R268" s="13">
        <v>3.38</v>
      </c>
      <c r="S268" s="13">
        <v>0</v>
      </c>
      <c r="T268" s="13" t="b">
        <v>0</v>
      </c>
      <c r="U268" s="14" t="s">
        <v>72</v>
      </c>
    </row>
    <row r="269" spans="1:21" ht="13.95" customHeight="1" x14ac:dyDescent="0.3">
      <c r="A269" s="15" t="s">
        <v>90</v>
      </c>
      <c r="B269" s="15">
        <v>158</v>
      </c>
      <c r="C269" s="15">
        <v>510</v>
      </c>
      <c r="D269" s="15" t="s">
        <v>70</v>
      </c>
      <c r="E269" s="15" t="s">
        <v>70</v>
      </c>
      <c r="F269" s="15">
        <v>0</v>
      </c>
      <c r="G269" s="15">
        <v>205.2</v>
      </c>
      <c r="H269" s="15">
        <v>97</v>
      </c>
      <c r="I269" s="15">
        <v>34.880000000000003</v>
      </c>
      <c r="J269" s="15">
        <v>240.6</v>
      </c>
      <c r="K269" s="15">
        <v>77</v>
      </c>
      <c r="L269" s="15">
        <v>20.45</v>
      </c>
      <c r="M269" s="15">
        <v>79.7</v>
      </c>
      <c r="N269" s="15">
        <v>108</v>
      </c>
      <c r="O269" s="15">
        <v>3.59</v>
      </c>
      <c r="P269" s="15">
        <v>14.4</v>
      </c>
      <c r="Q269" s="15">
        <v>12</v>
      </c>
      <c r="R269" s="15">
        <v>3.89</v>
      </c>
      <c r="S269" s="15">
        <v>0</v>
      </c>
      <c r="T269" s="15" t="b">
        <v>0</v>
      </c>
      <c r="U269" s="14" t="s">
        <v>72</v>
      </c>
    </row>
    <row r="270" spans="1:21" ht="13.95" customHeight="1" x14ac:dyDescent="0.3">
      <c r="A270" s="13" t="s">
        <v>87</v>
      </c>
      <c r="B270" s="13">
        <v>116</v>
      </c>
      <c r="C270" s="13">
        <v>510</v>
      </c>
      <c r="D270" s="13" t="s">
        <v>70</v>
      </c>
      <c r="E270" s="13" t="s">
        <v>70</v>
      </c>
      <c r="F270" s="13">
        <v>0</v>
      </c>
      <c r="G270" s="13">
        <v>192.1</v>
      </c>
      <c r="H270" s="13">
        <v>98</v>
      </c>
      <c r="I270" s="13">
        <v>32.659999999999997</v>
      </c>
      <c r="J270" s="13">
        <v>312.89999999999998</v>
      </c>
      <c r="K270" s="13">
        <v>135</v>
      </c>
      <c r="L270" s="13">
        <v>26.6</v>
      </c>
      <c r="M270" s="13">
        <v>130.19999999999999</v>
      </c>
      <c r="N270" s="13">
        <v>94</v>
      </c>
      <c r="O270" s="13">
        <v>5.86</v>
      </c>
      <c r="P270" s="13">
        <v>7.9</v>
      </c>
      <c r="Q270" s="13">
        <v>2</v>
      </c>
      <c r="R270" s="13">
        <v>2.13</v>
      </c>
      <c r="S270" s="13">
        <v>3</v>
      </c>
      <c r="T270" s="13" t="b">
        <v>0</v>
      </c>
      <c r="U270" s="14" t="s">
        <v>72</v>
      </c>
    </row>
    <row r="271" spans="1:21" ht="13.95" customHeight="1" x14ac:dyDescent="0.3">
      <c r="A271" s="15" t="s">
        <v>82</v>
      </c>
      <c r="B271" s="15">
        <v>54</v>
      </c>
      <c r="C271" s="15">
        <v>415</v>
      </c>
      <c r="D271" s="15" t="s">
        <v>70</v>
      </c>
      <c r="E271" s="15" t="s">
        <v>70</v>
      </c>
      <c r="F271" s="15">
        <v>0</v>
      </c>
      <c r="G271" s="15">
        <v>272.60000000000002</v>
      </c>
      <c r="H271" s="15">
        <v>83</v>
      </c>
      <c r="I271" s="15">
        <v>46.34</v>
      </c>
      <c r="J271" s="15">
        <v>248.7</v>
      </c>
      <c r="K271" s="15">
        <v>74</v>
      </c>
      <c r="L271" s="15">
        <v>21.14</v>
      </c>
      <c r="M271" s="15">
        <v>197.4</v>
      </c>
      <c r="N271" s="15">
        <v>111</v>
      </c>
      <c r="O271" s="15">
        <v>8.8800000000000008</v>
      </c>
      <c r="P271" s="15">
        <v>9.5</v>
      </c>
      <c r="Q271" s="15">
        <v>2</v>
      </c>
      <c r="R271" s="15">
        <v>2.57</v>
      </c>
      <c r="S271" s="15">
        <v>1</v>
      </c>
      <c r="T271" s="15" t="b">
        <v>1</v>
      </c>
      <c r="U271" s="16" t="s">
        <v>89</v>
      </c>
    </row>
    <row r="272" spans="1:21" ht="13.95" customHeight="1" x14ac:dyDescent="0.3">
      <c r="A272" s="13" t="s">
        <v>76</v>
      </c>
      <c r="B272" s="13">
        <v>86</v>
      </c>
      <c r="C272" s="13">
        <v>415</v>
      </c>
      <c r="D272" s="13" t="s">
        <v>70</v>
      </c>
      <c r="E272" s="13" t="s">
        <v>70</v>
      </c>
      <c r="F272" s="13">
        <v>0</v>
      </c>
      <c r="G272" s="13">
        <v>128.30000000000001</v>
      </c>
      <c r="H272" s="13">
        <v>121</v>
      </c>
      <c r="I272" s="13">
        <v>21.81</v>
      </c>
      <c r="J272" s="13">
        <v>197.1</v>
      </c>
      <c r="K272" s="13">
        <v>93</v>
      </c>
      <c r="L272" s="13">
        <v>16.75</v>
      </c>
      <c r="M272" s="13">
        <v>138.4</v>
      </c>
      <c r="N272" s="13">
        <v>152</v>
      </c>
      <c r="O272" s="13">
        <v>6.23</v>
      </c>
      <c r="P272" s="13">
        <v>12.2</v>
      </c>
      <c r="Q272" s="13">
        <v>5</v>
      </c>
      <c r="R272" s="13">
        <v>3.29</v>
      </c>
      <c r="S272" s="13">
        <v>7</v>
      </c>
      <c r="T272" s="13" t="b">
        <v>1</v>
      </c>
      <c r="U272" s="16" t="s">
        <v>89</v>
      </c>
    </row>
    <row r="273" spans="1:21" ht="13.95" customHeight="1" x14ac:dyDescent="0.3">
      <c r="A273" s="15" t="s">
        <v>102</v>
      </c>
      <c r="B273" s="15">
        <v>108</v>
      </c>
      <c r="C273" s="15">
        <v>510</v>
      </c>
      <c r="D273" s="15" t="s">
        <v>70</v>
      </c>
      <c r="E273" s="15" t="s">
        <v>70</v>
      </c>
      <c r="F273" s="15">
        <v>0</v>
      </c>
      <c r="G273" s="15">
        <v>169.6</v>
      </c>
      <c r="H273" s="15">
        <v>99</v>
      </c>
      <c r="I273" s="15">
        <v>28.83</v>
      </c>
      <c r="J273" s="15">
        <v>264.10000000000002</v>
      </c>
      <c r="K273" s="15">
        <v>87</v>
      </c>
      <c r="L273" s="15">
        <v>22.45</v>
      </c>
      <c r="M273" s="15">
        <v>206.3</v>
      </c>
      <c r="N273" s="15">
        <v>78</v>
      </c>
      <c r="O273" s="15">
        <v>9.2799999999999994</v>
      </c>
      <c r="P273" s="15">
        <v>9.3000000000000007</v>
      </c>
      <c r="Q273" s="15">
        <v>4</v>
      </c>
      <c r="R273" s="15">
        <v>2.5099999999999998</v>
      </c>
      <c r="S273" s="15">
        <v>0</v>
      </c>
      <c r="T273" s="15" t="b">
        <v>0</v>
      </c>
      <c r="U273" s="14" t="s">
        <v>72</v>
      </c>
    </row>
    <row r="274" spans="1:21" ht="13.95" customHeight="1" x14ac:dyDescent="0.3">
      <c r="A274" s="13" t="s">
        <v>82</v>
      </c>
      <c r="B274" s="13">
        <v>66</v>
      </c>
      <c r="C274" s="13">
        <v>510</v>
      </c>
      <c r="D274" s="13" t="s">
        <v>70</v>
      </c>
      <c r="E274" s="13" t="s">
        <v>70</v>
      </c>
      <c r="F274" s="13">
        <v>0</v>
      </c>
      <c r="G274" s="13">
        <v>201.3</v>
      </c>
      <c r="H274" s="13">
        <v>95</v>
      </c>
      <c r="I274" s="13">
        <v>34.22</v>
      </c>
      <c r="J274" s="13">
        <v>152.80000000000001</v>
      </c>
      <c r="K274" s="13">
        <v>66</v>
      </c>
      <c r="L274" s="13">
        <v>12.99</v>
      </c>
      <c r="M274" s="13">
        <v>233.2</v>
      </c>
      <c r="N274" s="13">
        <v>101</v>
      </c>
      <c r="O274" s="13">
        <v>10.49</v>
      </c>
      <c r="P274" s="13">
        <v>7.5</v>
      </c>
      <c r="Q274" s="13">
        <v>4</v>
      </c>
      <c r="R274" s="13">
        <v>2.0299999999999998</v>
      </c>
      <c r="S274" s="13">
        <v>1</v>
      </c>
      <c r="T274" s="13" t="b">
        <v>0</v>
      </c>
      <c r="U274" s="14" t="s">
        <v>72</v>
      </c>
    </row>
    <row r="275" spans="1:21" ht="13.95" customHeight="1" x14ac:dyDescent="0.3">
      <c r="A275" s="15" t="s">
        <v>114</v>
      </c>
      <c r="B275" s="15">
        <v>151</v>
      </c>
      <c r="C275" s="15">
        <v>408</v>
      </c>
      <c r="D275" s="15" t="s">
        <v>70</v>
      </c>
      <c r="E275" s="15" t="s">
        <v>71</v>
      </c>
      <c r="F275" s="15">
        <v>17</v>
      </c>
      <c r="G275" s="15">
        <v>214.7</v>
      </c>
      <c r="H275" s="15">
        <v>97</v>
      </c>
      <c r="I275" s="15">
        <v>36.5</v>
      </c>
      <c r="J275" s="15">
        <v>138.5</v>
      </c>
      <c r="K275" s="15">
        <v>90</v>
      </c>
      <c r="L275" s="15">
        <v>11.77</v>
      </c>
      <c r="M275" s="15">
        <v>169.1</v>
      </c>
      <c r="N275" s="15">
        <v>44</v>
      </c>
      <c r="O275" s="15">
        <v>7.61</v>
      </c>
      <c r="P275" s="15">
        <v>8.6</v>
      </c>
      <c r="Q275" s="15">
        <v>4</v>
      </c>
      <c r="R275" s="15">
        <v>2.3199999999999998</v>
      </c>
      <c r="S275" s="15">
        <v>1</v>
      </c>
      <c r="T275" s="15" t="b">
        <v>0</v>
      </c>
      <c r="U275" s="14" t="s">
        <v>72</v>
      </c>
    </row>
    <row r="276" spans="1:21" ht="13.95" customHeight="1" x14ac:dyDescent="0.3">
      <c r="A276" s="13" t="s">
        <v>118</v>
      </c>
      <c r="B276" s="13">
        <v>99</v>
      </c>
      <c r="C276" s="13">
        <v>510</v>
      </c>
      <c r="D276" s="13" t="s">
        <v>70</v>
      </c>
      <c r="E276" s="13" t="s">
        <v>70</v>
      </c>
      <c r="F276" s="13">
        <v>0</v>
      </c>
      <c r="G276" s="13">
        <v>169.2</v>
      </c>
      <c r="H276" s="13">
        <v>70</v>
      </c>
      <c r="I276" s="13">
        <v>28.76</v>
      </c>
      <c r="J276" s="13">
        <v>271.5</v>
      </c>
      <c r="K276" s="13">
        <v>77</v>
      </c>
      <c r="L276" s="13">
        <v>23.08</v>
      </c>
      <c r="M276" s="13">
        <v>170.2</v>
      </c>
      <c r="N276" s="13">
        <v>104</v>
      </c>
      <c r="O276" s="13">
        <v>7.66</v>
      </c>
      <c r="P276" s="13">
        <v>10.6</v>
      </c>
      <c r="Q276" s="13">
        <v>2</v>
      </c>
      <c r="R276" s="13">
        <v>2.86</v>
      </c>
      <c r="S276" s="13">
        <v>0</v>
      </c>
      <c r="T276" s="13" t="b">
        <v>0</v>
      </c>
      <c r="U276" s="14" t="s">
        <v>72</v>
      </c>
    </row>
    <row r="277" spans="1:21" ht="13.95" customHeight="1" x14ac:dyDescent="0.3">
      <c r="A277" s="15" t="s">
        <v>108</v>
      </c>
      <c r="B277" s="15">
        <v>55</v>
      </c>
      <c r="C277" s="15">
        <v>415</v>
      </c>
      <c r="D277" s="15" t="s">
        <v>70</v>
      </c>
      <c r="E277" s="15" t="s">
        <v>70</v>
      </c>
      <c r="F277" s="15">
        <v>0</v>
      </c>
      <c r="G277" s="15">
        <v>194.1</v>
      </c>
      <c r="H277" s="15">
        <v>121</v>
      </c>
      <c r="I277" s="15">
        <v>33</v>
      </c>
      <c r="J277" s="15">
        <v>176.6</v>
      </c>
      <c r="K277" s="15">
        <v>110</v>
      </c>
      <c r="L277" s="15">
        <v>15.01</v>
      </c>
      <c r="M277" s="15">
        <v>302.8</v>
      </c>
      <c r="N277" s="15">
        <v>136</v>
      </c>
      <c r="O277" s="15">
        <v>13.63</v>
      </c>
      <c r="P277" s="15">
        <v>7</v>
      </c>
      <c r="Q277" s="15">
        <v>7</v>
      </c>
      <c r="R277" s="15">
        <v>1.89</v>
      </c>
      <c r="S277" s="15">
        <v>2</v>
      </c>
      <c r="T277" s="15" t="b">
        <v>0</v>
      </c>
      <c r="U277" s="14" t="s">
        <v>72</v>
      </c>
    </row>
    <row r="278" spans="1:21" ht="13.95" customHeight="1" x14ac:dyDescent="0.3">
      <c r="A278" s="13" t="s">
        <v>97</v>
      </c>
      <c r="B278" s="13">
        <v>78</v>
      </c>
      <c r="C278" s="13">
        <v>408</v>
      </c>
      <c r="D278" s="13" t="s">
        <v>70</v>
      </c>
      <c r="E278" s="13" t="s">
        <v>70</v>
      </c>
      <c r="F278" s="13">
        <v>0</v>
      </c>
      <c r="G278" s="13">
        <v>225.1</v>
      </c>
      <c r="H278" s="13">
        <v>67</v>
      </c>
      <c r="I278" s="13">
        <v>38.270000000000003</v>
      </c>
      <c r="J278" s="13">
        <v>199.2</v>
      </c>
      <c r="K278" s="13">
        <v>127</v>
      </c>
      <c r="L278" s="13">
        <v>16.93</v>
      </c>
      <c r="M278" s="13">
        <v>175.5</v>
      </c>
      <c r="N278" s="13">
        <v>102</v>
      </c>
      <c r="O278" s="13">
        <v>7.9</v>
      </c>
      <c r="P278" s="13">
        <v>14.6</v>
      </c>
      <c r="Q278" s="13">
        <v>2</v>
      </c>
      <c r="R278" s="13">
        <v>3.94</v>
      </c>
      <c r="S278" s="13">
        <v>0</v>
      </c>
      <c r="T278" s="13" t="b">
        <v>0</v>
      </c>
      <c r="U278" s="14" t="s">
        <v>72</v>
      </c>
    </row>
    <row r="279" spans="1:21" ht="13.95" customHeight="1" x14ac:dyDescent="0.3">
      <c r="A279" s="15" t="s">
        <v>96</v>
      </c>
      <c r="B279" s="15">
        <v>89</v>
      </c>
      <c r="C279" s="15">
        <v>415</v>
      </c>
      <c r="D279" s="15" t="s">
        <v>70</v>
      </c>
      <c r="E279" s="15" t="s">
        <v>70</v>
      </c>
      <c r="F279" s="15">
        <v>0</v>
      </c>
      <c r="G279" s="15">
        <v>213</v>
      </c>
      <c r="H279" s="15">
        <v>63</v>
      </c>
      <c r="I279" s="15">
        <v>36.21</v>
      </c>
      <c r="J279" s="15">
        <v>176.6</v>
      </c>
      <c r="K279" s="15">
        <v>71</v>
      </c>
      <c r="L279" s="15">
        <v>15.01</v>
      </c>
      <c r="M279" s="15">
        <v>262.60000000000002</v>
      </c>
      <c r="N279" s="15">
        <v>126</v>
      </c>
      <c r="O279" s="15">
        <v>11.82</v>
      </c>
      <c r="P279" s="15">
        <v>9.1</v>
      </c>
      <c r="Q279" s="15">
        <v>1</v>
      </c>
      <c r="R279" s="15">
        <v>2.46</v>
      </c>
      <c r="S279" s="15">
        <v>1</v>
      </c>
      <c r="T279" s="15" t="b">
        <v>1</v>
      </c>
      <c r="U279" s="16" t="s">
        <v>89</v>
      </c>
    </row>
    <row r="280" spans="1:21" ht="13.95" customHeight="1" x14ac:dyDescent="0.3">
      <c r="A280" s="13" t="s">
        <v>109</v>
      </c>
      <c r="B280" s="13">
        <v>101</v>
      </c>
      <c r="C280" s="13">
        <v>415</v>
      </c>
      <c r="D280" s="13" t="s">
        <v>70</v>
      </c>
      <c r="E280" s="13" t="s">
        <v>70</v>
      </c>
      <c r="F280" s="13">
        <v>0</v>
      </c>
      <c r="G280" s="13">
        <v>183.9</v>
      </c>
      <c r="H280" s="13">
        <v>115</v>
      </c>
      <c r="I280" s="13">
        <v>31.26</v>
      </c>
      <c r="J280" s="13">
        <v>255.9</v>
      </c>
      <c r="K280" s="13">
        <v>101</v>
      </c>
      <c r="L280" s="13">
        <v>21.75</v>
      </c>
      <c r="M280" s="13">
        <v>275</v>
      </c>
      <c r="N280" s="13">
        <v>145</v>
      </c>
      <c r="O280" s="13">
        <v>12.38</v>
      </c>
      <c r="P280" s="13">
        <v>10.8</v>
      </c>
      <c r="Q280" s="13">
        <v>11</v>
      </c>
      <c r="R280" s="13">
        <v>2.92</v>
      </c>
      <c r="S280" s="13">
        <v>1</v>
      </c>
      <c r="T280" s="13" t="b">
        <v>0</v>
      </c>
      <c r="U280" s="14" t="s">
        <v>72</v>
      </c>
    </row>
    <row r="281" spans="1:21" ht="13.95" customHeight="1" x14ac:dyDescent="0.3">
      <c r="A281" s="15" t="s">
        <v>93</v>
      </c>
      <c r="B281" s="15">
        <v>44</v>
      </c>
      <c r="C281" s="15">
        <v>415</v>
      </c>
      <c r="D281" s="15" t="s">
        <v>70</v>
      </c>
      <c r="E281" s="15" t="s">
        <v>71</v>
      </c>
      <c r="F281" s="15">
        <v>34</v>
      </c>
      <c r="G281" s="15">
        <v>221.8</v>
      </c>
      <c r="H281" s="15">
        <v>105</v>
      </c>
      <c r="I281" s="15">
        <v>37.71</v>
      </c>
      <c r="J281" s="15">
        <v>161.69999999999999</v>
      </c>
      <c r="K281" s="15">
        <v>85</v>
      </c>
      <c r="L281" s="15">
        <v>13.74</v>
      </c>
      <c r="M281" s="15">
        <v>227.7</v>
      </c>
      <c r="N281" s="15">
        <v>62</v>
      </c>
      <c r="O281" s="15">
        <v>10.25</v>
      </c>
      <c r="P281" s="15">
        <v>14</v>
      </c>
      <c r="Q281" s="15">
        <v>7</v>
      </c>
      <c r="R281" s="15">
        <v>3.78</v>
      </c>
      <c r="S281" s="15">
        <v>0</v>
      </c>
      <c r="T281" s="15" t="b">
        <v>0</v>
      </c>
      <c r="U281" s="14" t="s">
        <v>72</v>
      </c>
    </row>
    <row r="282" spans="1:21" ht="13.95" customHeight="1" x14ac:dyDescent="0.3">
      <c r="A282" s="13" t="s">
        <v>103</v>
      </c>
      <c r="B282" s="13">
        <v>98</v>
      </c>
      <c r="C282" s="13">
        <v>408</v>
      </c>
      <c r="D282" s="13" t="s">
        <v>70</v>
      </c>
      <c r="E282" s="13" t="s">
        <v>71</v>
      </c>
      <c r="F282" s="13">
        <v>21</v>
      </c>
      <c r="G282" s="13">
        <v>64.599999999999994</v>
      </c>
      <c r="H282" s="13">
        <v>98</v>
      </c>
      <c r="I282" s="13">
        <v>10.98</v>
      </c>
      <c r="J282" s="13">
        <v>176.1</v>
      </c>
      <c r="K282" s="13">
        <v>86</v>
      </c>
      <c r="L282" s="13">
        <v>14.97</v>
      </c>
      <c r="M282" s="13">
        <v>244.8</v>
      </c>
      <c r="N282" s="13">
        <v>84</v>
      </c>
      <c r="O282" s="13">
        <v>11.02</v>
      </c>
      <c r="P282" s="13">
        <v>0</v>
      </c>
      <c r="Q282" s="13">
        <v>0</v>
      </c>
      <c r="R282" s="13">
        <v>0</v>
      </c>
      <c r="S282" s="13">
        <v>2</v>
      </c>
      <c r="T282" s="13" t="b">
        <v>0</v>
      </c>
      <c r="U282" s="14" t="s">
        <v>72</v>
      </c>
    </row>
    <row r="283" spans="1:21" ht="13.95" customHeight="1" x14ac:dyDescent="0.3">
      <c r="A283" s="15" t="s">
        <v>118</v>
      </c>
      <c r="B283" s="15">
        <v>64</v>
      </c>
      <c r="C283" s="15">
        <v>510</v>
      </c>
      <c r="D283" s="15" t="s">
        <v>70</v>
      </c>
      <c r="E283" s="15" t="s">
        <v>71</v>
      </c>
      <c r="F283" s="15">
        <v>37</v>
      </c>
      <c r="G283" s="15">
        <v>154.6</v>
      </c>
      <c r="H283" s="15">
        <v>92</v>
      </c>
      <c r="I283" s="15">
        <v>26.28</v>
      </c>
      <c r="J283" s="15">
        <v>83.4</v>
      </c>
      <c r="K283" s="15">
        <v>103</v>
      </c>
      <c r="L283" s="15">
        <v>7.09</v>
      </c>
      <c r="M283" s="15">
        <v>165.9</v>
      </c>
      <c r="N283" s="15">
        <v>99</v>
      </c>
      <c r="O283" s="15">
        <v>7.47</v>
      </c>
      <c r="P283" s="15">
        <v>13.3</v>
      </c>
      <c r="Q283" s="15">
        <v>3</v>
      </c>
      <c r="R283" s="15">
        <v>3.59</v>
      </c>
      <c r="S283" s="15">
        <v>1</v>
      </c>
      <c r="T283" s="15" t="b">
        <v>0</v>
      </c>
      <c r="U283" s="14" t="s">
        <v>72</v>
      </c>
    </row>
    <row r="284" spans="1:21" ht="13.95" customHeight="1" x14ac:dyDescent="0.3">
      <c r="A284" s="13" t="s">
        <v>85</v>
      </c>
      <c r="B284" s="13">
        <v>141</v>
      </c>
      <c r="C284" s="13">
        <v>415</v>
      </c>
      <c r="D284" s="13" t="s">
        <v>70</v>
      </c>
      <c r="E284" s="13" t="s">
        <v>70</v>
      </c>
      <c r="F284" s="13">
        <v>0</v>
      </c>
      <c r="G284" s="13">
        <v>260.2</v>
      </c>
      <c r="H284" s="13">
        <v>131</v>
      </c>
      <c r="I284" s="13">
        <v>44.23</v>
      </c>
      <c r="J284" s="13">
        <v>179.2</v>
      </c>
      <c r="K284" s="13">
        <v>120</v>
      </c>
      <c r="L284" s="13">
        <v>15.23</v>
      </c>
      <c r="M284" s="13">
        <v>135</v>
      </c>
      <c r="N284" s="13">
        <v>119</v>
      </c>
      <c r="O284" s="13">
        <v>6.08</v>
      </c>
      <c r="P284" s="13">
        <v>7.2</v>
      </c>
      <c r="Q284" s="13">
        <v>8</v>
      </c>
      <c r="R284" s="13">
        <v>1.94</v>
      </c>
      <c r="S284" s="13">
        <v>3</v>
      </c>
      <c r="T284" s="13" t="b">
        <v>0</v>
      </c>
      <c r="U284" s="14" t="s">
        <v>72</v>
      </c>
    </row>
    <row r="285" spans="1:21" ht="13.95" customHeight="1" x14ac:dyDescent="0.3">
      <c r="A285" s="15" t="s">
        <v>100</v>
      </c>
      <c r="B285" s="15">
        <v>81</v>
      </c>
      <c r="C285" s="15">
        <v>415</v>
      </c>
      <c r="D285" s="15" t="s">
        <v>70</v>
      </c>
      <c r="E285" s="15" t="s">
        <v>71</v>
      </c>
      <c r="F285" s="15">
        <v>33</v>
      </c>
      <c r="G285" s="15">
        <v>161.6</v>
      </c>
      <c r="H285" s="15">
        <v>117</v>
      </c>
      <c r="I285" s="15">
        <v>27.47</v>
      </c>
      <c r="J285" s="15">
        <v>123</v>
      </c>
      <c r="K285" s="15">
        <v>90</v>
      </c>
      <c r="L285" s="15">
        <v>10.46</v>
      </c>
      <c r="M285" s="15">
        <v>261.3</v>
      </c>
      <c r="N285" s="15">
        <v>101</v>
      </c>
      <c r="O285" s="15">
        <v>11.76</v>
      </c>
      <c r="P285" s="15">
        <v>12.2</v>
      </c>
      <c r="Q285" s="15">
        <v>5</v>
      </c>
      <c r="R285" s="15">
        <v>3.29</v>
      </c>
      <c r="S285" s="15">
        <v>1</v>
      </c>
      <c r="T285" s="15" t="b">
        <v>0</v>
      </c>
      <c r="U285" s="14" t="s">
        <v>72</v>
      </c>
    </row>
    <row r="286" spans="1:21" ht="13.95" customHeight="1" x14ac:dyDescent="0.3">
      <c r="A286" s="13" t="s">
        <v>84</v>
      </c>
      <c r="B286" s="13">
        <v>162</v>
      </c>
      <c r="C286" s="13">
        <v>510</v>
      </c>
      <c r="D286" s="13" t="s">
        <v>70</v>
      </c>
      <c r="E286" s="13" t="s">
        <v>70</v>
      </c>
      <c r="F286" s="13">
        <v>0</v>
      </c>
      <c r="G286" s="13">
        <v>220.6</v>
      </c>
      <c r="H286" s="13">
        <v>117</v>
      </c>
      <c r="I286" s="13">
        <v>37.5</v>
      </c>
      <c r="J286" s="13">
        <v>155.19999999999999</v>
      </c>
      <c r="K286" s="13">
        <v>121</v>
      </c>
      <c r="L286" s="13">
        <v>13.19</v>
      </c>
      <c r="M286" s="13">
        <v>186.7</v>
      </c>
      <c r="N286" s="13">
        <v>89</v>
      </c>
      <c r="O286" s="13">
        <v>8.4</v>
      </c>
      <c r="P286" s="13">
        <v>10.5</v>
      </c>
      <c r="Q286" s="13">
        <v>11</v>
      </c>
      <c r="R286" s="13">
        <v>2.84</v>
      </c>
      <c r="S286" s="13">
        <v>1</v>
      </c>
      <c r="T286" s="13" t="b">
        <v>0</v>
      </c>
      <c r="U286" s="14" t="s">
        <v>72</v>
      </c>
    </row>
    <row r="287" spans="1:21" ht="13.95" customHeight="1" x14ac:dyDescent="0.3">
      <c r="A287" s="15" t="s">
        <v>90</v>
      </c>
      <c r="B287" s="15">
        <v>83</v>
      </c>
      <c r="C287" s="15">
        <v>415</v>
      </c>
      <c r="D287" s="15" t="s">
        <v>70</v>
      </c>
      <c r="E287" s="15" t="s">
        <v>71</v>
      </c>
      <c r="F287" s="15">
        <v>41</v>
      </c>
      <c r="G287" s="15">
        <v>155.9</v>
      </c>
      <c r="H287" s="15">
        <v>122</v>
      </c>
      <c r="I287" s="15">
        <v>26.5</v>
      </c>
      <c r="J287" s="15">
        <v>162.30000000000001</v>
      </c>
      <c r="K287" s="15">
        <v>107</v>
      </c>
      <c r="L287" s="15">
        <v>13.8</v>
      </c>
      <c r="M287" s="15">
        <v>127.6</v>
      </c>
      <c r="N287" s="15">
        <v>105</v>
      </c>
      <c r="O287" s="15">
        <v>5.74</v>
      </c>
      <c r="P287" s="15">
        <v>13.1</v>
      </c>
      <c r="Q287" s="15">
        <v>5</v>
      </c>
      <c r="R287" s="15">
        <v>3.54</v>
      </c>
      <c r="S287" s="15">
        <v>3</v>
      </c>
      <c r="T287" s="15" t="b">
        <v>0</v>
      </c>
      <c r="U287" s="14" t="s">
        <v>72</v>
      </c>
    </row>
    <row r="288" spans="1:21" ht="13.95" customHeight="1" x14ac:dyDescent="0.3">
      <c r="A288" s="13" t="s">
        <v>87</v>
      </c>
      <c r="B288" s="13">
        <v>100</v>
      </c>
      <c r="C288" s="13">
        <v>510</v>
      </c>
      <c r="D288" s="13" t="s">
        <v>70</v>
      </c>
      <c r="E288" s="13" t="s">
        <v>70</v>
      </c>
      <c r="F288" s="13">
        <v>0</v>
      </c>
      <c r="G288" s="13">
        <v>107</v>
      </c>
      <c r="H288" s="13">
        <v>63</v>
      </c>
      <c r="I288" s="13">
        <v>18.190000000000001</v>
      </c>
      <c r="J288" s="13">
        <v>105.7</v>
      </c>
      <c r="K288" s="13">
        <v>67</v>
      </c>
      <c r="L288" s="13">
        <v>8.98</v>
      </c>
      <c r="M288" s="13">
        <v>243.1</v>
      </c>
      <c r="N288" s="13">
        <v>74</v>
      </c>
      <c r="O288" s="13">
        <v>10.94</v>
      </c>
      <c r="P288" s="13">
        <v>12.8</v>
      </c>
      <c r="Q288" s="13">
        <v>3</v>
      </c>
      <c r="R288" s="13">
        <v>3.46</v>
      </c>
      <c r="S288" s="13">
        <v>4</v>
      </c>
      <c r="T288" s="13" t="b">
        <v>1</v>
      </c>
      <c r="U288" s="16" t="s">
        <v>89</v>
      </c>
    </row>
    <row r="289" spans="1:21" ht="13.95" customHeight="1" x14ac:dyDescent="0.3">
      <c r="A289" s="15" t="s">
        <v>97</v>
      </c>
      <c r="B289" s="15">
        <v>59</v>
      </c>
      <c r="C289" s="15">
        <v>510</v>
      </c>
      <c r="D289" s="15" t="s">
        <v>70</v>
      </c>
      <c r="E289" s="15" t="s">
        <v>70</v>
      </c>
      <c r="F289" s="15">
        <v>0</v>
      </c>
      <c r="G289" s="15">
        <v>182.5</v>
      </c>
      <c r="H289" s="15">
        <v>104</v>
      </c>
      <c r="I289" s="15">
        <v>31.03</v>
      </c>
      <c r="J289" s="15">
        <v>204.7</v>
      </c>
      <c r="K289" s="15">
        <v>95</v>
      </c>
      <c r="L289" s="15">
        <v>17.399999999999999</v>
      </c>
      <c r="M289" s="15">
        <v>229.9</v>
      </c>
      <c r="N289" s="15">
        <v>100</v>
      </c>
      <c r="O289" s="15">
        <v>10.35</v>
      </c>
      <c r="P289" s="15">
        <v>11.3</v>
      </c>
      <c r="Q289" s="15">
        <v>8</v>
      </c>
      <c r="R289" s="15">
        <v>3.05</v>
      </c>
      <c r="S289" s="15">
        <v>4</v>
      </c>
      <c r="T289" s="15" t="b">
        <v>0</v>
      </c>
      <c r="U289" s="14" t="s">
        <v>72</v>
      </c>
    </row>
    <row r="290" spans="1:21" ht="13.95" customHeight="1" x14ac:dyDescent="0.3">
      <c r="A290" s="13" t="s">
        <v>99</v>
      </c>
      <c r="B290" s="13">
        <v>179</v>
      </c>
      <c r="C290" s="13">
        <v>415</v>
      </c>
      <c r="D290" s="13" t="s">
        <v>71</v>
      </c>
      <c r="E290" s="13" t="s">
        <v>71</v>
      </c>
      <c r="F290" s="13">
        <v>38</v>
      </c>
      <c r="G290" s="13">
        <v>220.1</v>
      </c>
      <c r="H290" s="13">
        <v>78</v>
      </c>
      <c r="I290" s="13">
        <v>37.42</v>
      </c>
      <c r="J290" s="13">
        <v>234.3</v>
      </c>
      <c r="K290" s="13">
        <v>71</v>
      </c>
      <c r="L290" s="13">
        <v>19.920000000000002</v>
      </c>
      <c r="M290" s="13">
        <v>237.3</v>
      </c>
      <c r="N290" s="13">
        <v>85</v>
      </c>
      <c r="O290" s="13">
        <v>10.68</v>
      </c>
      <c r="P290" s="13">
        <v>10.1</v>
      </c>
      <c r="Q290" s="13">
        <v>4</v>
      </c>
      <c r="R290" s="13">
        <v>2.73</v>
      </c>
      <c r="S290" s="13">
        <v>4</v>
      </c>
      <c r="T290" s="13" t="b">
        <v>0</v>
      </c>
      <c r="U290" s="14" t="s">
        <v>72</v>
      </c>
    </row>
    <row r="291" spans="1:21" ht="13.95" customHeight="1" x14ac:dyDescent="0.3">
      <c r="A291" s="15" t="s">
        <v>99</v>
      </c>
      <c r="B291" s="15">
        <v>79</v>
      </c>
      <c r="C291" s="15">
        <v>408</v>
      </c>
      <c r="D291" s="15" t="s">
        <v>70</v>
      </c>
      <c r="E291" s="15" t="s">
        <v>70</v>
      </c>
      <c r="F291" s="15">
        <v>0</v>
      </c>
      <c r="G291" s="15">
        <v>152.19999999999999</v>
      </c>
      <c r="H291" s="15">
        <v>112</v>
      </c>
      <c r="I291" s="15">
        <v>25.87</v>
      </c>
      <c r="J291" s="15">
        <v>177.2</v>
      </c>
      <c r="K291" s="15">
        <v>132</v>
      </c>
      <c r="L291" s="15">
        <v>15.06</v>
      </c>
      <c r="M291" s="15">
        <v>96.4</v>
      </c>
      <c r="N291" s="15">
        <v>87</v>
      </c>
      <c r="O291" s="15">
        <v>4.34</v>
      </c>
      <c r="P291" s="15">
        <v>5.3</v>
      </c>
      <c r="Q291" s="15">
        <v>3</v>
      </c>
      <c r="R291" s="15">
        <v>1.43</v>
      </c>
      <c r="S291" s="15">
        <v>1</v>
      </c>
      <c r="T291" s="15" t="b">
        <v>0</v>
      </c>
      <c r="U291" s="14" t="s">
        <v>72</v>
      </c>
    </row>
    <row r="292" spans="1:21" ht="13.95" customHeight="1" x14ac:dyDescent="0.3">
      <c r="A292" s="13" t="s">
        <v>97</v>
      </c>
      <c r="B292" s="13">
        <v>117</v>
      </c>
      <c r="C292" s="13">
        <v>415</v>
      </c>
      <c r="D292" s="13" t="s">
        <v>70</v>
      </c>
      <c r="E292" s="13" t="s">
        <v>70</v>
      </c>
      <c r="F292" s="13">
        <v>0</v>
      </c>
      <c r="G292" s="13">
        <v>181.5</v>
      </c>
      <c r="H292" s="13">
        <v>95</v>
      </c>
      <c r="I292" s="13">
        <v>30.86</v>
      </c>
      <c r="J292" s="13">
        <v>205.1</v>
      </c>
      <c r="K292" s="13">
        <v>88</v>
      </c>
      <c r="L292" s="13">
        <v>17.43</v>
      </c>
      <c r="M292" s="13">
        <v>204</v>
      </c>
      <c r="N292" s="13">
        <v>82</v>
      </c>
      <c r="O292" s="13">
        <v>9.18</v>
      </c>
      <c r="P292" s="13">
        <v>14.7</v>
      </c>
      <c r="Q292" s="13">
        <v>9</v>
      </c>
      <c r="R292" s="13">
        <v>3.97</v>
      </c>
      <c r="S292" s="13">
        <v>2</v>
      </c>
      <c r="T292" s="13" t="b">
        <v>0</v>
      </c>
      <c r="U292" s="14" t="s">
        <v>72</v>
      </c>
    </row>
    <row r="293" spans="1:21" ht="13.95" customHeight="1" x14ac:dyDescent="0.3">
      <c r="A293" s="15" t="s">
        <v>115</v>
      </c>
      <c r="B293" s="15">
        <v>31</v>
      </c>
      <c r="C293" s="15">
        <v>415</v>
      </c>
      <c r="D293" s="15" t="s">
        <v>70</v>
      </c>
      <c r="E293" s="15" t="s">
        <v>70</v>
      </c>
      <c r="F293" s="15">
        <v>0</v>
      </c>
      <c r="G293" s="15">
        <v>166.1</v>
      </c>
      <c r="H293" s="15">
        <v>105</v>
      </c>
      <c r="I293" s="15">
        <v>28.24</v>
      </c>
      <c r="J293" s="15">
        <v>79.3</v>
      </c>
      <c r="K293" s="15">
        <v>93</v>
      </c>
      <c r="L293" s="15">
        <v>6.74</v>
      </c>
      <c r="M293" s="15">
        <v>213.7</v>
      </c>
      <c r="N293" s="15">
        <v>98</v>
      </c>
      <c r="O293" s="15">
        <v>9.6199999999999992</v>
      </c>
      <c r="P293" s="15">
        <v>12.7</v>
      </c>
      <c r="Q293" s="15">
        <v>2</v>
      </c>
      <c r="R293" s="15">
        <v>3.43</v>
      </c>
      <c r="S293" s="15">
        <v>1</v>
      </c>
      <c r="T293" s="15" t="b">
        <v>0</v>
      </c>
      <c r="U293" s="14" t="s">
        <v>72</v>
      </c>
    </row>
    <row r="294" spans="1:21" ht="13.95" customHeight="1" x14ac:dyDescent="0.3">
      <c r="A294" s="13" t="s">
        <v>110</v>
      </c>
      <c r="B294" s="13">
        <v>122</v>
      </c>
      <c r="C294" s="13">
        <v>408</v>
      </c>
      <c r="D294" s="13" t="s">
        <v>70</v>
      </c>
      <c r="E294" s="13" t="s">
        <v>71</v>
      </c>
      <c r="F294" s="13">
        <v>23</v>
      </c>
      <c r="G294" s="13">
        <v>134.19999999999999</v>
      </c>
      <c r="H294" s="13">
        <v>85</v>
      </c>
      <c r="I294" s="13">
        <v>22.81</v>
      </c>
      <c r="J294" s="13">
        <v>227.3</v>
      </c>
      <c r="K294" s="13">
        <v>132</v>
      </c>
      <c r="L294" s="13">
        <v>19.32</v>
      </c>
      <c r="M294" s="13">
        <v>122.4</v>
      </c>
      <c r="N294" s="13">
        <v>96</v>
      </c>
      <c r="O294" s="13">
        <v>5.51</v>
      </c>
      <c r="P294" s="13">
        <v>8.5</v>
      </c>
      <c r="Q294" s="13">
        <v>2</v>
      </c>
      <c r="R294" s="13">
        <v>2.2999999999999998</v>
      </c>
      <c r="S294" s="13">
        <v>2</v>
      </c>
      <c r="T294" s="13" t="b">
        <v>0</v>
      </c>
      <c r="U294" s="14" t="s">
        <v>72</v>
      </c>
    </row>
    <row r="295" spans="1:21" ht="13.95" customHeight="1" x14ac:dyDescent="0.3">
      <c r="A295" s="15" t="s">
        <v>91</v>
      </c>
      <c r="B295" s="15">
        <v>37</v>
      </c>
      <c r="C295" s="15">
        <v>408</v>
      </c>
      <c r="D295" s="15" t="s">
        <v>71</v>
      </c>
      <c r="E295" s="15" t="s">
        <v>71</v>
      </c>
      <c r="F295" s="15">
        <v>39</v>
      </c>
      <c r="G295" s="15">
        <v>149.69999999999999</v>
      </c>
      <c r="H295" s="15">
        <v>122</v>
      </c>
      <c r="I295" s="15">
        <v>25.45</v>
      </c>
      <c r="J295" s="15">
        <v>211.1</v>
      </c>
      <c r="K295" s="15">
        <v>75</v>
      </c>
      <c r="L295" s="15">
        <v>17.940000000000001</v>
      </c>
      <c r="M295" s="15">
        <v>114.3</v>
      </c>
      <c r="N295" s="15">
        <v>90</v>
      </c>
      <c r="O295" s="15">
        <v>5.14</v>
      </c>
      <c r="P295" s="15">
        <v>9.1999999999999993</v>
      </c>
      <c r="Q295" s="15">
        <v>4</v>
      </c>
      <c r="R295" s="15">
        <v>2.48</v>
      </c>
      <c r="S295" s="15">
        <v>1</v>
      </c>
      <c r="T295" s="15" t="b">
        <v>0</v>
      </c>
      <c r="U295" s="14" t="s">
        <v>72</v>
      </c>
    </row>
    <row r="296" spans="1:21" ht="13.95" customHeight="1" x14ac:dyDescent="0.3">
      <c r="A296" s="13" t="s">
        <v>118</v>
      </c>
      <c r="B296" s="13">
        <v>90</v>
      </c>
      <c r="C296" s="13">
        <v>408</v>
      </c>
      <c r="D296" s="13" t="s">
        <v>70</v>
      </c>
      <c r="E296" s="13" t="s">
        <v>71</v>
      </c>
      <c r="F296" s="13">
        <v>29</v>
      </c>
      <c r="G296" s="13">
        <v>150.1</v>
      </c>
      <c r="H296" s="13">
        <v>109</v>
      </c>
      <c r="I296" s="13">
        <v>25.52</v>
      </c>
      <c r="J296" s="13">
        <v>264.7</v>
      </c>
      <c r="K296" s="13">
        <v>103</v>
      </c>
      <c r="L296" s="13">
        <v>22.5</v>
      </c>
      <c r="M296" s="13">
        <v>178.4</v>
      </c>
      <c r="N296" s="13">
        <v>97</v>
      </c>
      <c r="O296" s="13">
        <v>8.0299999999999994</v>
      </c>
      <c r="P296" s="13">
        <v>5.8</v>
      </c>
      <c r="Q296" s="13">
        <v>4</v>
      </c>
      <c r="R296" s="13">
        <v>1.57</v>
      </c>
      <c r="S296" s="13">
        <v>1</v>
      </c>
      <c r="T296" s="13" t="b">
        <v>0</v>
      </c>
      <c r="U296" s="14" t="s">
        <v>72</v>
      </c>
    </row>
    <row r="297" spans="1:21" ht="13.95" customHeight="1" x14ac:dyDescent="0.3">
      <c r="A297" s="15" t="s">
        <v>88</v>
      </c>
      <c r="B297" s="15">
        <v>159</v>
      </c>
      <c r="C297" s="15">
        <v>408</v>
      </c>
      <c r="D297" s="15" t="s">
        <v>71</v>
      </c>
      <c r="E297" s="15" t="s">
        <v>70</v>
      </c>
      <c r="F297" s="15">
        <v>0</v>
      </c>
      <c r="G297" s="15">
        <v>257.10000000000002</v>
      </c>
      <c r="H297" s="15">
        <v>53</v>
      </c>
      <c r="I297" s="15">
        <v>43.71</v>
      </c>
      <c r="J297" s="15">
        <v>312.2</v>
      </c>
      <c r="K297" s="15">
        <v>127</v>
      </c>
      <c r="L297" s="15">
        <v>26.54</v>
      </c>
      <c r="M297" s="15">
        <v>183</v>
      </c>
      <c r="N297" s="15">
        <v>82</v>
      </c>
      <c r="O297" s="15">
        <v>8.24</v>
      </c>
      <c r="P297" s="15">
        <v>8.8000000000000007</v>
      </c>
      <c r="Q297" s="15">
        <v>6</v>
      </c>
      <c r="R297" s="15">
        <v>2.38</v>
      </c>
      <c r="S297" s="15">
        <v>1</v>
      </c>
      <c r="T297" s="15" t="b">
        <v>1</v>
      </c>
      <c r="U297" s="16" t="s">
        <v>89</v>
      </c>
    </row>
    <row r="298" spans="1:21" ht="13.95" customHeight="1" x14ac:dyDescent="0.3">
      <c r="A298" s="13" t="s">
        <v>73</v>
      </c>
      <c r="B298" s="13">
        <v>39</v>
      </c>
      <c r="C298" s="13">
        <v>415</v>
      </c>
      <c r="D298" s="13" t="s">
        <v>70</v>
      </c>
      <c r="E298" s="13" t="s">
        <v>71</v>
      </c>
      <c r="F298" s="13">
        <v>36</v>
      </c>
      <c r="G298" s="13">
        <v>141.69999999999999</v>
      </c>
      <c r="H298" s="13">
        <v>121</v>
      </c>
      <c r="I298" s="13">
        <v>24.09</v>
      </c>
      <c r="J298" s="13">
        <v>232.3</v>
      </c>
      <c r="K298" s="13">
        <v>113</v>
      </c>
      <c r="L298" s="13">
        <v>19.75</v>
      </c>
      <c r="M298" s="13">
        <v>222.1</v>
      </c>
      <c r="N298" s="13">
        <v>131</v>
      </c>
      <c r="O298" s="13">
        <v>9.99</v>
      </c>
      <c r="P298" s="13">
        <v>12</v>
      </c>
      <c r="Q298" s="13">
        <v>5</v>
      </c>
      <c r="R298" s="13">
        <v>3.24</v>
      </c>
      <c r="S298" s="13">
        <v>1</v>
      </c>
      <c r="T298" s="13" t="b">
        <v>0</v>
      </c>
      <c r="U298" s="14" t="s">
        <v>72</v>
      </c>
    </row>
    <row r="299" spans="1:21" ht="13.95" customHeight="1" x14ac:dyDescent="0.3">
      <c r="A299" s="15" t="s">
        <v>75</v>
      </c>
      <c r="B299" s="15">
        <v>194</v>
      </c>
      <c r="C299" s="15">
        <v>408</v>
      </c>
      <c r="D299" s="15" t="s">
        <v>70</v>
      </c>
      <c r="E299" s="15" t="s">
        <v>70</v>
      </c>
      <c r="F299" s="15">
        <v>0</v>
      </c>
      <c r="G299" s="15">
        <v>162.30000000000001</v>
      </c>
      <c r="H299" s="15">
        <v>88</v>
      </c>
      <c r="I299" s="15">
        <v>27.59</v>
      </c>
      <c r="J299" s="15">
        <v>213.7</v>
      </c>
      <c r="K299" s="15">
        <v>118</v>
      </c>
      <c r="L299" s="15">
        <v>18.16</v>
      </c>
      <c r="M299" s="15">
        <v>192.1</v>
      </c>
      <c r="N299" s="15">
        <v>81</v>
      </c>
      <c r="O299" s="15">
        <v>8.64</v>
      </c>
      <c r="P299" s="15">
        <v>10.9</v>
      </c>
      <c r="Q299" s="15">
        <v>2</v>
      </c>
      <c r="R299" s="15">
        <v>2.94</v>
      </c>
      <c r="S299" s="15">
        <v>0</v>
      </c>
      <c r="T299" s="15" t="b">
        <v>0</v>
      </c>
      <c r="U299" s="14" t="s">
        <v>72</v>
      </c>
    </row>
    <row r="300" spans="1:21" ht="13.95" customHeight="1" x14ac:dyDescent="0.3">
      <c r="A300" s="13" t="s">
        <v>88</v>
      </c>
      <c r="B300" s="13">
        <v>154</v>
      </c>
      <c r="C300" s="13">
        <v>415</v>
      </c>
      <c r="D300" s="13" t="s">
        <v>70</v>
      </c>
      <c r="E300" s="13" t="s">
        <v>70</v>
      </c>
      <c r="F300" s="13">
        <v>0</v>
      </c>
      <c r="G300" s="13">
        <v>350.8</v>
      </c>
      <c r="H300" s="13">
        <v>75</v>
      </c>
      <c r="I300" s="13">
        <v>59.64</v>
      </c>
      <c r="J300" s="13">
        <v>216.5</v>
      </c>
      <c r="K300" s="13">
        <v>94</v>
      </c>
      <c r="L300" s="13">
        <v>18.399999999999999</v>
      </c>
      <c r="M300" s="13">
        <v>253.9</v>
      </c>
      <c r="N300" s="13">
        <v>100</v>
      </c>
      <c r="O300" s="13">
        <v>11.43</v>
      </c>
      <c r="P300" s="13">
        <v>10.1</v>
      </c>
      <c r="Q300" s="13">
        <v>9</v>
      </c>
      <c r="R300" s="13">
        <v>2.73</v>
      </c>
      <c r="S300" s="13">
        <v>1</v>
      </c>
      <c r="T300" s="13" t="b">
        <v>1</v>
      </c>
      <c r="U300" s="16" t="s">
        <v>89</v>
      </c>
    </row>
    <row r="301" spans="1:21" ht="13.95" customHeight="1" x14ac:dyDescent="0.3">
      <c r="A301" s="15" t="s">
        <v>107</v>
      </c>
      <c r="B301" s="15">
        <v>112</v>
      </c>
      <c r="C301" s="15">
        <v>415</v>
      </c>
      <c r="D301" s="15" t="s">
        <v>70</v>
      </c>
      <c r="E301" s="15" t="s">
        <v>70</v>
      </c>
      <c r="F301" s="15">
        <v>0</v>
      </c>
      <c r="G301" s="15">
        <v>193.3</v>
      </c>
      <c r="H301" s="15">
        <v>96</v>
      </c>
      <c r="I301" s="15">
        <v>32.86</v>
      </c>
      <c r="J301" s="15">
        <v>264.10000000000002</v>
      </c>
      <c r="K301" s="15">
        <v>123</v>
      </c>
      <c r="L301" s="15">
        <v>22.45</v>
      </c>
      <c r="M301" s="15">
        <v>128.6</v>
      </c>
      <c r="N301" s="15">
        <v>115</v>
      </c>
      <c r="O301" s="15">
        <v>5.79</v>
      </c>
      <c r="P301" s="15">
        <v>9.1</v>
      </c>
      <c r="Q301" s="15">
        <v>3</v>
      </c>
      <c r="R301" s="15">
        <v>2.46</v>
      </c>
      <c r="S301" s="15">
        <v>4</v>
      </c>
      <c r="T301" s="15" t="b">
        <v>0</v>
      </c>
      <c r="U301" s="14" t="s">
        <v>72</v>
      </c>
    </row>
    <row r="302" spans="1:21" ht="13.95" customHeight="1" x14ac:dyDescent="0.3">
      <c r="A302" s="13" t="s">
        <v>98</v>
      </c>
      <c r="B302" s="13">
        <v>45</v>
      </c>
      <c r="C302" s="13">
        <v>415</v>
      </c>
      <c r="D302" s="13" t="s">
        <v>70</v>
      </c>
      <c r="E302" s="13" t="s">
        <v>70</v>
      </c>
      <c r="F302" s="13">
        <v>0</v>
      </c>
      <c r="G302" s="13">
        <v>78.2</v>
      </c>
      <c r="H302" s="13">
        <v>127</v>
      </c>
      <c r="I302" s="13">
        <v>13.29</v>
      </c>
      <c r="J302" s="13">
        <v>253.4</v>
      </c>
      <c r="K302" s="13">
        <v>108</v>
      </c>
      <c r="L302" s="13">
        <v>21.54</v>
      </c>
      <c r="M302" s="13">
        <v>255</v>
      </c>
      <c r="N302" s="13">
        <v>100</v>
      </c>
      <c r="O302" s="13">
        <v>11.48</v>
      </c>
      <c r="P302" s="13">
        <v>18</v>
      </c>
      <c r="Q302" s="13">
        <v>3</v>
      </c>
      <c r="R302" s="13">
        <v>4.8600000000000003</v>
      </c>
      <c r="S302" s="13">
        <v>1</v>
      </c>
      <c r="T302" s="13" t="b">
        <v>0</v>
      </c>
      <c r="U302" s="14" t="s">
        <v>72</v>
      </c>
    </row>
    <row r="303" spans="1:21" ht="13.95" customHeight="1" x14ac:dyDescent="0.3">
      <c r="A303" s="15" t="s">
        <v>69</v>
      </c>
      <c r="B303" s="15">
        <v>132</v>
      </c>
      <c r="C303" s="15">
        <v>415</v>
      </c>
      <c r="D303" s="15" t="s">
        <v>70</v>
      </c>
      <c r="E303" s="15" t="s">
        <v>70</v>
      </c>
      <c r="F303" s="15">
        <v>0</v>
      </c>
      <c r="G303" s="15">
        <v>83.4</v>
      </c>
      <c r="H303" s="15">
        <v>110</v>
      </c>
      <c r="I303" s="15">
        <v>14.18</v>
      </c>
      <c r="J303" s="15">
        <v>232.2</v>
      </c>
      <c r="K303" s="15">
        <v>137</v>
      </c>
      <c r="L303" s="15">
        <v>19.739999999999998</v>
      </c>
      <c r="M303" s="15">
        <v>146.69999999999999</v>
      </c>
      <c r="N303" s="15">
        <v>114</v>
      </c>
      <c r="O303" s="15">
        <v>6.6</v>
      </c>
      <c r="P303" s="15">
        <v>7.6</v>
      </c>
      <c r="Q303" s="15">
        <v>5</v>
      </c>
      <c r="R303" s="15">
        <v>2.0499999999999998</v>
      </c>
      <c r="S303" s="15">
        <v>1</v>
      </c>
      <c r="T303" s="15" t="b">
        <v>0</v>
      </c>
      <c r="U303" s="14" t="s">
        <v>72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H29"/>
  <sheetViews>
    <sheetView showGridLines="0" topLeftCell="A44" workbookViewId="0">
      <selection activeCell="C24" sqref="C24"/>
    </sheetView>
  </sheetViews>
  <sheetFormatPr defaultRowHeight="14.4" x14ac:dyDescent="0.3"/>
  <cols>
    <col min="1" max="1" width="19.44140625" bestFit="1" customWidth="1"/>
    <col min="2" max="2" width="14.21875" bestFit="1" customWidth="1"/>
    <col min="3" max="3" width="31.6640625" bestFit="1" customWidth="1"/>
    <col min="4" max="4" width="26.21875" bestFit="1" customWidth="1"/>
    <col min="5" max="5" width="16.44140625" bestFit="1" customWidth="1"/>
    <col min="6" max="6" width="26.88671875" bestFit="1" customWidth="1"/>
    <col min="7" max="7" width="11.88671875" bestFit="1" customWidth="1"/>
    <col min="8" max="8" width="18.88671875" bestFit="1" customWidth="1"/>
  </cols>
  <sheetData>
    <row r="1" spans="1:8" ht="28.05" customHeight="1" x14ac:dyDescent="0.3">
      <c r="A1" s="118" t="s">
        <v>122</v>
      </c>
      <c r="B1" s="96"/>
      <c r="C1" s="96"/>
      <c r="D1" s="96"/>
      <c r="E1" s="96"/>
      <c r="F1" s="96"/>
      <c r="G1" s="96"/>
      <c r="H1" s="96"/>
    </row>
    <row r="3" spans="1:8" ht="22.05" customHeight="1" x14ac:dyDescent="0.3">
      <c r="A3" s="114" t="s">
        <v>123</v>
      </c>
      <c r="B3" s="96"/>
      <c r="C3" s="96"/>
      <c r="D3" s="96"/>
      <c r="E3" s="96"/>
      <c r="F3" s="96"/>
      <c r="G3" s="96"/>
      <c r="H3" s="96"/>
    </row>
    <row r="4" spans="1:8" ht="36" customHeight="1" x14ac:dyDescent="0.3">
      <c r="A4" s="113" t="s">
        <v>124</v>
      </c>
      <c r="B4" s="96"/>
      <c r="C4" s="96"/>
      <c r="D4" s="96"/>
      <c r="E4" s="96"/>
      <c r="F4" s="96"/>
      <c r="G4" s="96"/>
      <c r="H4" s="96"/>
    </row>
    <row r="6" spans="1:8" ht="22.05" customHeight="1" x14ac:dyDescent="0.3">
      <c r="A6" s="114" t="s">
        <v>125</v>
      </c>
      <c r="B6" s="96"/>
      <c r="C6" s="96"/>
      <c r="D6" s="96"/>
      <c r="E6" s="96"/>
      <c r="F6" s="96"/>
      <c r="G6" s="96"/>
      <c r="H6" s="96"/>
    </row>
    <row r="7" spans="1:8" ht="19.95" customHeight="1" x14ac:dyDescent="0.3">
      <c r="A7" s="17" t="s">
        <v>126</v>
      </c>
      <c r="B7" s="17" t="s">
        <v>127</v>
      </c>
      <c r="C7" s="17" t="s">
        <v>128</v>
      </c>
      <c r="D7" s="17" t="s">
        <v>129</v>
      </c>
      <c r="E7" s="17" t="s">
        <v>130</v>
      </c>
      <c r="F7" s="17" t="s">
        <v>131</v>
      </c>
    </row>
    <row r="8" spans="1:8" ht="40.049999999999997" customHeight="1" x14ac:dyDescent="0.3">
      <c r="A8" s="18" t="s">
        <v>48</v>
      </c>
      <c r="B8" s="19" t="s">
        <v>132</v>
      </c>
      <c r="C8" s="20" t="s">
        <v>133</v>
      </c>
      <c r="D8" s="21" t="s">
        <v>134</v>
      </c>
      <c r="E8" s="21" t="s">
        <v>135</v>
      </c>
      <c r="F8" s="19" t="s">
        <v>136</v>
      </c>
    </row>
    <row r="9" spans="1:8" ht="40.049999999999997" customHeight="1" x14ac:dyDescent="0.3">
      <c r="A9" s="22" t="s">
        <v>51</v>
      </c>
      <c r="B9" s="23" t="s">
        <v>137</v>
      </c>
      <c r="C9" s="24" t="s">
        <v>138</v>
      </c>
      <c r="D9" s="25" t="s">
        <v>139</v>
      </c>
      <c r="E9" s="25" t="s">
        <v>140</v>
      </c>
      <c r="F9" s="23" t="s">
        <v>141</v>
      </c>
    </row>
    <row r="10" spans="1:8" ht="40.049999999999997" customHeight="1" x14ac:dyDescent="0.3">
      <c r="A10" s="18" t="s">
        <v>52</v>
      </c>
      <c r="B10" s="19" t="s">
        <v>137</v>
      </c>
      <c r="C10" s="20" t="s">
        <v>138</v>
      </c>
      <c r="D10" s="21" t="s">
        <v>139</v>
      </c>
      <c r="E10" s="21" t="s">
        <v>140</v>
      </c>
      <c r="F10" s="19" t="s">
        <v>142</v>
      </c>
    </row>
    <row r="11" spans="1:8" ht="40.049999999999997" customHeight="1" x14ac:dyDescent="0.3">
      <c r="A11" s="22" t="s">
        <v>143</v>
      </c>
      <c r="B11" s="23" t="s">
        <v>144</v>
      </c>
      <c r="C11" s="24" t="s">
        <v>145</v>
      </c>
      <c r="D11" s="25" t="s">
        <v>146</v>
      </c>
      <c r="E11" s="25" t="s">
        <v>147</v>
      </c>
      <c r="F11" s="23" t="s">
        <v>148</v>
      </c>
    </row>
    <row r="12" spans="1:8" ht="16.05" customHeight="1" x14ac:dyDescent="0.3"/>
    <row r="13" spans="1:8" ht="22.05" customHeight="1" x14ac:dyDescent="0.3">
      <c r="A13" s="114" t="s">
        <v>149</v>
      </c>
      <c r="B13" s="96"/>
      <c r="C13" s="96"/>
      <c r="D13" s="96"/>
      <c r="E13" s="96"/>
      <c r="F13" s="96"/>
      <c r="G13" s="96"/>
      <c r="H13" s="96"/>
    </row>
    <row r="14" spans="1:8" ht="43.95" customHeight="1" x14ac:dyDescent="0.3">
      <c r="A14" s="117" t="s">
        <v>150</v>
      </c>
      <c r="B14" s="96"/>
      <c r="C14" s="96"/>
      <c r="D14" s="96"/>
      <c r="E14" s="96"/>
      <c r="F14" s="96"/>
      <c r="G14" s="96"/>
      <c r="H14" s="96"/>
    </row>
    <row r="16" spans="1:8" ht="25.95" customHeight="1" x14ac:dyDescent="0.3">
      <c r="A16" s="116" t="s">
        <v>151</v>
      </c>
      <c r="B16" s="96"/>
      <c r="C16" s="96"/>
      <c r="D16" s="96"/>
      <c r="E16" s="96"/>
      <c r="F16" s="96"/>
      <c r="G16" s="96"/>
      <c r="H16" s="96"/>
    </row>
    <row r="17" spans="1:8" ht="18" customHeight="1" x14ac:dyDescent="0.3">
      <c r="A17" s="17" t="s">
        <v>152</v>
      </c>
      <c r="B17" s="17" t="s">
        <v>153</v>
      </c>
      <c r="C17" s="17" t="s">
        <v>154</v>
      </c>
      <c r="D17" s="17" t="s">
        <v>155</v>
      </c>
    </row>
    <row r="18" spans="1:8" ht="31.95" customHeight="1" x14ac:dyDescent="0.3">
      <c r="A18" s="26" t="s">
        <v>156</v>
      </c>
      <c r="B18" s="19" t="s">
        <v>157</v>
      </c>
      <c r="C18" s="19" t="s">
        <v>158</v>
      </c>
      <c r="D18" s="19" t="s">
        <v>159</v>
      </c>
    </row>
    <row r="19" spans="1:8" ht="31.95" customHeight="1" x14ac:dyDescent="0.3">
      <c r="A19" s="27" t="s">
        <v>160</v>
      </c>
      <c r="B19" s="23" t="s">
        <v>161</v>
      </c>
      <c r="C19" s="23" t="s">
        <v>162</v>
      </c>
      <c r="D19" s="23" t="s">
        <v>163</v>
      </c>
    </row>
    <row r="20" spans="1:8" ht="31.95" customHeight="1" x14ac:dyDescent="0.3">
      <c r="A20" s="26" t="s">
        <v>164</v>
      </c>
      <c r="B20" s="19" t="s">
        <v>165</v>
      </c>
      <c r="C20" s="19" t="s">
        <v>166</v>
      </c>
      <c r="D20" s="19" t="s">
        <v>167</v>
      </c>
    </row>
    <row r="21" spans="1:8" ht="31.95" customHeight="1" x14ac:dyDescent="0.3">
      <c r="A21" s="27" t="s">
        <v>168</v>
      </c>
      <c r="B21" s="23" t="s">
        <v>169</v>
      </c>
      <c r="C21" s="23" t="s">
        <v>170</v>
      </c>
      <c r="D21" s="23" t="s">
        <v>171</v>
      </c>
    </row>
    <row r="22" spans="1:8" ht="13.95" customHeight="1" x14ac:dyDescent="0.3"/>
    <row r="23" spans="1:8" ht="22.05" customHeight="1" x14ac:dyDescent="0.3">
      <c r="A23" s="114" t="s">
        <v>172</v>
      </c>
      <c r="B23" s="96"/>
      <c r="C23" s="96"/>
      <c r="D23" s="96"/>
      <c r="E23" s="96"/>
      <c r="F23" s="96"/>
      <c r="G23" s="96"/>
      <c r="H23" s="96"/>
    </row>
    <row r="24" spans="1:8" ht="52.8" x14ac:dyDescent="0.3">
      <c r="A24" s="17" t="s">
        <v>173</v>
      </c>
      <c r="B24" s="17" t="s">
        <v>174</v>
      </c>
      <c r="C24" s="17" t="s">
        <v>175</v>
      </c>
      <c r="D24" s="17" t="s">
        <v>176</v>
      </c>
      <c r="E24" s="17" t="s">
        <v>177</v>
      </c>
      <c r="F24" s="17" t="s">
        <v>178</v>
      </c>
      <c r="G24" s="17" t="s">
        <v>179</v>
      </c>
      <c r="H24" s="17" t="s">
        <v>180</v>
      </c>
    </row>
    <row r="25" spans="1:8" x14ac:dyDescent="0.3">
      <c r="A25" s="28" t="s">
        <v>54</v>
      </c>
      <c r="B25" s="29" t="s">
        <v>181</v>
      </c>
      <c r="C25" s="29" t="s">
        <v>182</v>
      </c>
      <c r="D25" s="29" t="s">
        <v>183</v>
      </c>
      <c r="E25" s="30" t="s">
        <v>184</v>
      </c>
      <c r="F25" s="30" t="s">
        <v>185</v>
      </c>
      <c r="G25" s="30" t="s">
        <v>186</v>
      </c>
      <c r="H25" s="31" t="s">
        <v>187</v>
      </c>
    </row>
    <row r="26" spans="1:8" x14ac:dyDescent="0.3">
      <c r="A26" s="32" t="s">
        <v>66</v>
      </c>
      <c r="B26" s="33" t="s">
        <v>8</v>
      </c>
      <c r="C26" s="33" t="s">
        <v>188</v>
      </c>
      <c r="D26" s="33" t="s">
        <v>189</v>
      </c>
      <c r="E26" s="34" t="s">
        <v>190</v>
      </c>
      <c r="F26" s="34" t="s">
        <v>191</v>
      </c>
      <c r="G26" s="34" t="s">
        <v>186</v>
      </c>
      <c r="H26" s="35" t="s">
        <v>187</v>
      </c>
    </row>
    <row r="27" spans="1:8" x14ac:dyDescent="0.3">
      <c r="A27" s="28" t="s">
        <v>49</v>
      </c>
      <c r="B27" s="29" t="s">
        <v>192</v>
      </c>
      <c r="C27" s="29" t="s">
        <v>193</v>
      </c>
      <c r="D27" s="29" t="s">
        <v>194</v>
      </c>
      <c r="E27" s="30" t="s">
        <v>195</v>
      </c>
      <c r="F27" s="30" t="s">
        <v>196</v>
      </c>
      <c r="G27" s="30" t="s">
        <v>186</v>
      </c>
      <c r="H27" s="31" t="s">
        <v>187</v>
      </c>
    </row>
    <row r="28" spans="1:8" x14ac:dyDescent="0.3">
      <c r="A28" s="32" t="s">
        <v>65</v>
      </c>
      <c r="B28" s="33" t="s">
        <v>8</v>
      </c>
      <c r="C28" s="33" t="s">
        <v>197</v>
      </c>
      <c r="D28" s="33" t="s">
        <v>198</v>
      </c>
      <c r="E28" s="34" t="s">
        <v>199</v>
      </c>
      <c r="F28" s="34" t="s">
        <v>200</v>
      </c>
      <c r="G28" s="34" t="s">
        <v>186</v>
      </c>
      <c r="H28" s="35" t="s">
        <v>187</v>
      </c>
    </row>
    <row r="29" spans="1:8" ht="31.95" customHeight="1" x14ac:dyDescent="0.3">
      <c r="A29" s="115" t="s">
        <v>201</v>
      </c>
      <c r="B29" s="96"/>
      <c r="C29" s="96"/>
      <c r="D29" s="96"/>
      <c r="E29" s="96"/>
      <c r="F29" s="96"/>
      <c r="G29" s="96"/>
      <c r="H29" s="96"/>
    </row>
  </sheetData>
  <mergeCells count="9">
    <mergeCell ref="A1:H1"/>
    <mergeCell ref="A23:H23"/>
    <mergeCell ref="A6:H6"/>
    <mergeCell ref="A4:H4"/>
    <mergeCell ref="A3:H3"/>
    <mergeCell ref="A29:H29"/>
    <mergeCell ref="A16:H16"/>
    <mergeCell ref="A13:H13"/>
    <mergeCell ref="A14:H14"/>
  </mergeCells>
  <pageMargins left="0.75" right="0.75" top="1" bottom="1" header="0.5" footer="0.5"/>
  <ignoredErrors>
    <ignoredError sqref="B25:G2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G24"/>
  <sheetViews>
    <sheetView showGridLines="0" workbookViewId="0">
      <selection activeCell="B17" sqref="B17"/>
    </sheetView>
  </sheetViews>
  <sheetFormatPr defaultRowHeight="14.4" x14ac:dyDescent="0.3"/>
  <cols>
    <col min="1" max="1" width="19.77734375" bestFit="1" customWidth="1"/>
    <col min="2" max="2" width="14.109375" bestFit="1" customWidth="1"/>
    <col min="3" max="3" width="26.21875" bestFit="1" customWidth="1"/>
    <col min="4" max="4" width="20.6640625" bestFit="1" customWidth="1"/>
    <col min="5" max="5" width="18.109375" bestFit="1" customWidth="1"/>
    <col min="6" max="6" width="28.109375" bestFit="1" customWidth="1"/>
    <col min="7" max="7" width="18" customWidth="1"/>
  </cols>
  <sheetData>
    <row r="1" spans="1:7" ht="28.05" customHeight="1" x14ac:dyDescent="0.3">
      <c r="A1" s="118" t="s">
        <v>202</v>
      </c>
      <c r="B1" s="96"/>
      <c r="C1" s="96"/>
      <c r="D1" s="96"/>
      <c r="E1" s="96"/>
      <c r="F1" s="96"/>
      <c r="G1" s="96"/>
    </row>
    <row r="3" spans="1:7" ht="22.05" customHeight="1" x14ac:dyDescent="0.3">
      <c r="A3" s="114" t="s">
        <v>203</v>
      </c>
      <c r="B3" s="96"/>
      <c r="C3" s="96"/>
      <c r="D3" s="96"/>
      <c r="E3" s="96"/>
      <c r="F3" s="96"/>
      <c r="G3" s="96"/>
    </row>
    <row r="4" spans="1:7" ht="43.95" customHeight="1" x14ac:dyDescent="0.3">
      <c r="A4" s="119" t="s">
        <v>204</v>
      </c>
      <c r="B4" s="96"/>
      <c r="C4" s="96"/>
      <c r="D4" s="96"/>
      <c r="E4" s="96"/>
      <c r="F4" s="96"/>
      <c r="G4" s="96"/>
    </row>
    <row r="6" spans="1:7" ht="22.05" customHeight="1" x14ac:dyDescent="0.3">
      <c r="A6" s="114" t="s">
        <v>205</v>
      </c>
      <c r="B6" s="96"/>
      <c r="C6" s="96"/>
      <c r="D6" s="96"/>
      <c r="E6" s="96"/>
      <c r="F6" s="96"/>
      <c r="G6" s="96"/>
    </row>
    <row r="7" spans="1:7" ht="92.4" x14ac:dyDescent="0.3">
      <c r="A7" s="17" t="s">
        <v>206</v>
      </c>
      <c r="B7" s="17" t="s">
        <v>207</v>
      </c>
      <c r="C7" s="17" t="s">
        <v>208</v>
      </c>
      <c r="D7" s="17" t="s">
        <v>209</v>
      </c>
    </row>
    <row r="8" spans="1:7" x14ac:dyDescent="0.3">
      <c r="A8" s="36" t="s">
        <v>210</v>
      </c>
      <c r="B8" s="35" t="s">
        <v>211</v>
      </c>
      <c r="C8" s="37">
        <f>2666*0.8</f>
        <v>2132.8000000000002</v>
      </c>
      <c r="D8" s="38" t="s">
        <v>212</v>
      </c>
    </row>
    <row r="9" spans="1:7" x14ac:dyDescent="0.3">
      <c r="A9" s="39" t="s">
        <v>213</v>
      </c>
      <c r="B9" s="31" t="s">
        <v>214</v>
      </c>
      <c r="C9" s="40">
        <f>2666*0.2</f>
        <v>533.20000000000005</v>
      </c>
      <c r="D9" s="41" t="s">
        <v>215</v>
      </c>
    </row>
    <row r="10" spans="1:7" x14ac:dyDescent="0.3">
      <c r="A10" s="36" t="s">
        <v>216</v>
      </c>
      <c r="B10" s="35" t="s">
        <v>217</v>
      </c>
      <c r="C10" s="37">
        <f>2132*0.1454</f>
        <v>309.99279999999999</v>
      </c>
      <c r="D10" s="38" t="s">
        <v>218</v>
      </c>
    </row>
    <row r="11" spans="1:7" x14ac:dyDescent="0.3">
      <c r="A11" s="39" t="s">
        <v>219</v>
      </c>
      <c r="B11" s="31" t="s">
        <v>220</v>
      </c>
      <c r="C11" s="40">
        <f>534*0.1461</f>
        <v>78.017400000000009</v>
      </c>
      <c r="D11" s="41" t="s">
        <v>221</v>
      </c>
    </row>
    <row r="13" spans="1:7" ht="22.05" customHeight="1" x14ac:dyDescent="0.3">
      <c r="A13" s="114" t="s">
        <v>222</v>
      </c>
      <c r="B13" s="96"/>
      <c r="C13" s="96"/>
      <c r="D13" s="96"/>
      <c r="E13" s="96"/>
      <c r="F13" s="96"/>
      <c r="G13" s="96"/>
    </row>
    <row r="14" spans="1:7" ht="52.8" x14ac:dyDescent="0.3">
      <c r="A14" s="17" t="s">
        <v>223</v>
      </c>
      <c r="B14" s="17" t="s">
        <v>224</v>
      </c>
      <c r="C14" s="17" t="s">
        <v>225</v>
      </c>
      <c r="D14" s="17" t="s">
        <v>226</v>
      </c>
      <c r="E14" s="17" t="s">
        <v>12</v>
      </c>
      <c r="F14" s="17" t="s">
        <v>227</v>
      </c>
    </row>
    <row r="15" spans="1:7" ht="22.05" customHeight="1" x14ac:dyDescent="0.3">
      <c r="A15" s="28" t="s">
        <v>228</v>
      </c>
      <c r="B15" s="31" t="s">
        <v>3</v>
      </c>
      <c r="C15" s="31" t="s">
        <v>4</v>
      </c>
      <c r="D15" s="31" t="s">
        <v>5</v>
      </c>
      <c r="E15" s="31" t="s">
        <v>6</v>
      </c>
      <c r="F15" s="31" t="s">
        <v>229</v>
      </c>
    </row>
    <row r="16" spans="1:7" ht="22.05" customHeight="1" x14ac:dyDescent="0.3">
      <c r="A16" s="32" t="s">
        <v>230</v>
      </c>
      <c r="B16" s="35" t="s">
        <v>231</v>
      </c>
      <c r="C16" s="35" t="s">
        <v>232</v>
      </c>
      <c r="D16" s="35" t="s">
        <v>233</v>
      </c>
      <c r="E16" s="35" t="s">
        <v>234</v>
      </c>
      <c r="F16" s="34" t="s">
        <v>235</v>
      </c>
    </row>
    <row r="17" spans="1:7" ht="22.05" customHeight="1" x14ac:dyDescent="0.3">
      <c r="A17" s="42" t="s">
        <v>236</v>
      </c>
      <c r="B17" s="43" t="s">
        <v>237</v>
      </c>
      <c r="C17" s="43" t="s">
        <v>238</v>
      </c>
      <c r="D17" s="43" t="s">
        <v>239</v>
      </c>
      <c r="E17" s="43" t="s">
        <v>240</v>
      </c>
      <c r="F17" s="44" t="s">
        <v>241</v>
      </c>
    </row>
    <row r="18" spans="1:7" ht="22.05" customHeight="1" x14ac:dyDescent="0.3">
      <c r="A18" s="45" t="s">
        <v>242</v>
      </c>
      <c r="B18" s="46" t="s">
        <v>237</v>
      </c>
      <c r="C18" s="46" t="s">
        <v>243</v>
      </c>
      <c r="D18" s="47" t="s">
        <v>243</v>
      </c>
      <c r="E18" s="47" t="s">
        <v>244</v>
      </c>
      <c r="F18" s="47" t="s">
        <v>245</v>
      </c>
    </row>
    <row r="19" spans="1:7" ht="31.95" customHeight="1" x14ac:dyDescent="0.3">
      <c r="A19" s="120" t="s">
        <v>246</v>
      </c>
      <c r="B19" s="96"/>
      <c r="C19" s="96"/>
      <c r="D19" s="96"/>
      <c r="E19" s="96"/>
      <c r="F19" s="96"/>
      <c r="G19" s="96"/>
    </row>
    <row r="21" spans="1:7" ht="22.05" customHeight="1" x14ac:dyDescent="0.3">
      <c r="A21" s="114" t="s">
        <v>247</v>
      </c>
      <c r="B21" s="96"/>
      <c r="C21" s="96"/>
      <c r="D21" s="96"/>
      <c r="E21" s="96"/>
      <c r="F21" s="96"/>
      <c r="G21" s="96"/>
    </row>
    <row r="22" spans="1:7" ht="26.4" x14ac:dyDescent="0.3">
      <c r="A22" s="17" t="s">
        <v>248</v>
      </c>
      <c r="B22" s="17" t="s">
        <v>249</v>
      </c>
      <c r="C22" s="17" t="s">
        <v>250</v>
      </c>
      <c r="D22" s="17" t="s">
        <v>251</v>
      </c>
      <c r="E22" s="17" t="s">
        <v>252</v>
      </c>
    </row>
    <row r="23" spans="1:7" ht="43.95" customHeight="1" x14ac:dyDescent="0.3">
      <c r="A23" s="141" t="s">
        <v>253</v>
      </c>
      <c r="B23" s="144" t="s">
        <v>231</v>
      </c>
      <c r="C23" s="141" t="s">
        <v>254</v>
      </c>
      <c r="D23" s="141" t="s">
        <v>255</v>
      </c>
      <c r="E23" s="141" t="s">
        <v>256</v>
      </c>
    </row>
    <row r="24" spans="1:7" ht="43.95" customHeight="1" x14ac:dyDescent="0.3">
      <c r="A24" s="132" t="s">
        <v>257</v>
      </c>
      <c r="B24" s="145" t="s">
        <v>237</v>
      </c>
      <c r="C24" s="132" t="s">
        <v>258</v>
      </c>
      <c r="D24" s="132" t="s">
        <v>259</v>
      </c>
      <c r="E24" s="132" t="s">
        <v>260</v>
      </c>
    </row>
  </sheetData>
  <mergeCells count="7">
    <mergeCell ref="A13:G13"/>
    <mergeCell ref="A1:G1"/>
    <mergeCell ref="A3:G3"/>
    <mergeCell ref="A6:G6"/>
    <mergeCell ref="A21:G21"/>
    <mergeCell ref="A4:G4"/>
    <mergeCell ref="A19:G19"/>
  </mergeCells>
  <pageMargins left="0.75" right="0.75" top="1" bottom="1" header="0.5" footer="0.5"/>
  <ignoredErrors>
    <ignoredError sqref="B15:E17 B23:B24 B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8449"/>
  </sheetPr>
  <dimension ref="A1:H31"/>
  <sheetViews>
    <sheetView showGridLines="0" workbookViewId="0">
      <selection activeCell="H21" sqref="H21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21.77734375" bestFit="1" customWidth="1"/>
    <col min="4" max="4" width="47.6640625" bestFit="1" customWidth="1"/>
    <col min="5" max="5" width="16.44140625" bestFit="1" customWidth="1"/>
    <col min="6" max="6" width="12.109375" bestFit="1" customWidth="1"/>
    <col min="7" max="7" width="14.6640625" bestFit="1" customWidth="1"/>
    <col min="8" max="8" width="16" customWidth="1"/>
  </cols>
  <sheetData>
    <row r="1" spans="1:8" ht="28.05" customHeight="1" x14ac:dyDescent="0.3">
      <c r="A1" s="118" t="s">
        <v>261</v>
      </c>
      <c r="B1" s="96"/>
      <c r="C1" s="96"/>
      <c r="D1" s="96"/>
      <c r="E1" s="96"/>
      <c r="F1" s="96"/>
      <c r="G1" s="96"/>
      <c r="H1" s="96"/>
    </row>
    <row r="3" spans="1:8" ht="22.05" customHeight="1" x14ac:dyDescent="0.3">
      <c r="A3" s="114" t="s">
        <v>262</v>
      </c>
      <c r="B3" s="96"/>
      <c r="C3" s="96"/>
      <c r="D3" s="96"/>
      <c r="E3" s="96"/>
      <c r="F3" s="96"/>
      <c r="G3" s="96"/>
      <c r="H3" s="96"/>
    </row>
    <row r="4" spans="1:8" ht="52.8" x14ac:dyDescent="0.3">
      <c r="A4" s="17" t="s">
        <v>263</v>
      </c>
      <c r="B4" s="17" t="s">
        <v>264</v>
      </c>
      <c r="C4" s="17" t="s">
        <v>265</v>
      </c>
      <c r="D4" s="17" t="s">
        <v>266</v>
      </c>
    </row>
    <row r="5" spans="1:8" ht="18" customHeight="1" x14ac:dyDescent="0.3">
      <c r="A5" s="39" t="s">
        <v>267</v>
      </c>
      <c r="B5" s="41" t="s">
        <v>3</v>
      </c>
      <c r="C5" s="28" t="s">
        <v>268</v>
      </c>
      <c r="D5" s="28" t="s">
        <v>269</v>
      </c>
    </row>
    <row r="6" spans="1:8" ht="18" customHeight="1" x14ac:dyDescent="0.3">
      <c r="A6" s="36" t="s">
        <v>270</v>
      </c>
      <c r="B6" s="38" t="s">
        <v>4</v>
      </c>
      <c r="C6" s="32" t="s">
        <v>271</v>
      </c>
      <c r="D6" s="32" t="s">
        <v>272</v>
      </c>
    </row>
    <row r="7" spans="1:8" ht="18" customHeight="1" x14ac:dyDescent="0.3">
      <c r="A7" s="39" t="s">
        <v>273</v>
      </c>
      <c r="B7" s="48" t="s">
        <v>5</v>
      </c>
      <c r="C7" s="28" t="s">
        <v>274</v>
      </c>
      <c r="D7" s="28" t="s">
        <v>275</v>
      </c>
    </row>
    <row r="8" spans="1:8" ht="18" customHeight="1" x14ac:dyDescent="0.3">
      <c r="A8" s="36" t="s">
        <v>276</v>
      </c>
      <c r="B8" s="38" t="s">
        <v>6</v>
      </c>
      <c r="C8" s="32" t="s">
        <v>277</v>
      </c>
      <c r="D8" s="32" t="s">
        <v>278</v>
      </c>
    </row>
    <row r="9" spans="1:8" ht="18" customHeight="1" x14ac:dyDescent="0.3">
      <c r="A9" s="39" t="s">
        <v>279</v>
      </c>
      <c r="B9" s="41" t="s">
        <v>280</v>
      </c>
      <c r="C9" s="28" t="s">
        <v>281</v>
      </c>
      <c r="D9" s="28" t="s">
        <v>282</v>
      </c>
    </row>
    <row r="10" spans="1:8" ht="18" customHeight="1" x14ac:dyDescent="0.3">
      <c r="A10" s="36" t="s">
        <v>283</v>
      </c>
      <c r="B10" s="38" t="s">
        <v>284</v>
      </c>
      <c r="C10" s="32" t="s">
        <v>285</v>
      </c>
      <c r="D10" s="32" t="s">
        <v>286</v>
      </c>
    </row>
    <row r="11" spans="1:8" ht="18" customHeight="1" x14ac:dyDescent="0.3">
      <c r="A11" s="39" t="s">
        <v>287</v>
      </c>
      <c r="B11" s="41" t="s">
        <v>288</v>
      </c>
      <c r="C11" s="28" t="s">
        <v>289</v>
      </c>
      <c r="D11" s="28" t="s">
        <v>290</v>
      </c>
    </row>
    <row r="12" spans="1:8" ht="18" customHeight="1" x14ac:dyDescent="0.3">
      <c r="A12" s="36" t="s">
        <v>291</v>
      </c>
      <c r="B12" s="38" t="s">
        <v>183</v>
      </c>
      <c r="C12" s="32" t="s">
        <v>292</v>
      </c>
      <c r="D12" s="32" t="s">
        <v>293</v>
      </c>
    </row>
    <row r="14" spans="1:8" ht="22.05" customHeight="1" x14ac:dyDescent="0.3">
      <c r="A14" s="114" t="s">
        <v>294</v>
      </c>
      <c r="B14" s="96"/>
      <c r="C14" s="96"/>
      <c r="D14" s="96"/>
      <c r="E14" s="96"/>
      <c r="F14" s="96"/>
      <c r="G14" s="96"/>
      <c r="H14" s="96"/>
    </row>
    <row r="15" spans="1:8" ht="18" customHeight="1" x14ac:dyDescent="0.3">
      <c r="A15" s="112" t="s">
        <v>295</v>
      </c>
      <c r="B15" s="96"/>
      <c r="C15" s="96"/>
      <c r="D15" s="96"/>
      <c r="E15" s="96"/>
      <c r="F15" s="96"/>
      <c r="G15" s="96"/>
      <c r="H15" s="96"/>
    </row>
    <row r="16" spans="1:8" ht="19.95" customHeight="1" x14ac:dyDescent="0.3">
      <c r="A16" s="17" t="s">
        <v>173</v>
      </c>
      <c r="B16" s="17" t="s">
        <v>296</v>
      </c>
      <c r="C16" s="17" t="s">
        <v>297</v>
      </c>
      <c r="D16" s="17" t="s">
        <v>298</v>
      </c>
      <c r="E16" s="17" t="s">
        <v>299</v>
      </c>
      <c r="F16" s="17" t="s">
        <v>300</v>
      </c>
      <c r="G16" s="17" t="s">
        <v>301</v>
      </c>
    </row>
    <row r="17" spans="1:7" ht="16.95" customHeight="1" x14ac:dyDescent="0.3">
      <c r="A17" s="39" t="s">
        <v>49</v>
      </c>
      <c r="B17" s="31">
        <v>100.62</v>
      </c>
      <c r="C17" s="31">
        <v>100.33</v>
      </c>
      <c r="D17" s="31">
        <v>102.32</v>
      </c>
      <c r="E17" s="29">
        <v>1.99</v>
      </c>
      <c r="F17" s="31" t="s">
        <v>302</v>
      </c>
      <c r="G17" s="49" t="s">
        <v>303</v>
      </c>
    </row>
    <row r="18" spans="1:7" ht="16.95" customHeight="1" x14ac:dyDescent="0.3">
      <c r="A18" s="36" t="s">
        <v>54</v>
      </c>
      <c r="B18" s="35">
        <v>179.48</v>
      </c>
      <c r="C18" s="35">
        <v>175.1</v>
      </c>
      <c r="D18" s="35">
        <v>205.18</v>
      </c>
      <c r="E18" s="50">
        <v>30.08</v>
      </c>
      <c r="F18" s="35" t="s">
        <v>304</v>
      </c>
      <c r="G18" s="50" t="s">
        <v>305</v>
      </c>
    </row>
    <row r="19" spans="1:7" ht="16.95" customHeight="1" x14ac:dyDescent="0.3">
      <c r="A19" s="39" t="s">
        <v>55</v>
      </c>
      <c r="B19" s="31">
        <v>100.31</v>
      </c>
      <c r="C19" s="31">
        <v>100.16</v>
      </c>
      <c r="D19" s="31">
        <v>101.2</v>
      </c>
      <c r="E19" s="29">
        <v>1.04</v>
      </c>
      <c r="F19" s="31" t="s">
        <v>306</v>
      </c>
      <c r="G19" s="49" t="s">
        <v>303</v>
      </c>
    </row>
    <row r="20" spans="1:7" ht="16.95" customHeight="1" x14ac:dyDescent="0.3">
      <c r="A20" s="36" t="s">
        <v>56</v>
      </c>
      <c r="B20" s="35">
        <v>30.51</v>
      </c>
      <c r="C20" s="35">
        <v>29.77</v>
      </c>
      <c r="D20" s="35">
        <v>34.880000000000003</v>
      </c>
      <c r="E20" s="50">
        <v>5.1100000000000003</v>
      </c>
      <c r="F20" s="35" t="s">
        <v>304</v>
      </c>
      <c r="G20" s="50" t="s">
        <v>305</v>
      </c>
    </row>
    <row r="21" spans="1:7" ht="16.95" customHeight="1" x14ac:dyDescent="0.3">
      <c r="A21" s="39" t="s">
        <v>57</v>
      </c>
      <c r="B21" s="31">
        <v>200.39</v>
      </c>
      <c r="C21" s="31">
        <v>198.85</v>
      </c>
      <c r="D21" s="31">
        <v>209.39</v>
      </c>
      <c r="E21" s="48">
        <v>10.53</v>
      </c>
      <c r="F21" s="31" t="s">
        <v>307</v>
      </c>
      <c r="G21" s="51" t="s">
        <v>308</v>
      </c>
    </row>
    <row r="22" spans="1:7" ht="16.95" customHeight="1" x14ac:dyDescent="0.3">
      <c r="A22" s="36" t="s">
        <v>58</v>
      </c>
      <c r="B22" s="35">
        <v>100.02</v>
      </c>
      <c r="C22" s="35">
        <v>100.04</v>
      </c>
      <c r="D22" s="35">
        <v>99.95</v>
      </c>
      <c r="E22" s="34">
        <v>-0.09</v>
      </c>
      <c r="F22" s="35" t="s">
        <v>309</v>
      </c>
      <c r="G22" s="52" t="s">
        <v>303</v>
      </c>
    </row>
    <row r="23" spans="1:7" ht="16.95" customHeight="1" x14ac:dyDescent="0.3">
      <c r="A23" s="39" t="s">
        <v>59</v>
      </c>
      <c r="B23" s="31">
        <v>17.03</v>
      </c>
      <c r="C23" s="31">
        <v>16.899999999999999</v>
      </c>
      <c r="D23" s="31">
        <v>17.8</v>
      </c>
      <c r="E23" s="29">
        <v>0.9</v>
      </c>
      <c r="F23" s="31" t="s">
        <v>307</v>
      </c>
      <c r="G23" s="51" t="s">
        <v>308</v>
      </c>
    </row>
    <row r="24" spans="1:7" ht="16.95" customHeight="1" x14ac:dyDescent="0.3">
      <c r="A24" s="36" t="s">
        <v>60</v>
      </c>
      <c r="B24" s="35">
        <v>201.17</v>
      </c>
      <c r="C24" s="35">
        <v>200.46</v>
      </c>
      <c r="D24" s="35">
        <v>205.31</v>
      </c>
      <c r="E24" s="33">
        <v>4.84</v>
      </c>
      <c r="F24" s="35" t="s">
        <v>310</v>
      </c>
      <c r="G24" s="52" t="s">
        <v>303</v>
      </c>
    </row>
    <row r="25" spans="1:7" ht="16.95" customHeight="1" x14ac:dyDescent="0.3">
      <c r="A25" s="39" t="s">
        <v>61</v>
      </c>
      <c r="B25" s="31">
        <v>100.11</v>
      </c>
      <c r="C25" s="31">
        <v>100.01</v>
      </c>
      <c r="D25" s="31">
        <v>100.68</v>
      </c>
      <c r="E25" s="29">
        <v>0.68</v>
      </c>
      <c r="F25" s="31" t="s">
        <v>311</v>
      </c>
      <c r="G25" s="49" t="s">
        <v>303</v>
      </c>
    </row>
    <row r="26" spans="1:7" ht="16.95" customHeight="1" x14ac:dyDescent="0.3">
      <c r="A26" s="36" t="s">
        <v>62</v>
      </c>
      <c r="B26" s="35">
        <v>9.0500000000000007</v>
      </c>
      <c r="C26" s="35">
        <v>9.02</v>
      </c>
      <c r="D26" s="35">
        <v>9.24</v>
      </c>
      <c r="E26" s="33">
        <v>0.22</v>
      </c>
      <c r="F26" s="35" t="s">
        <v>310</v>
      </c>
      <c r="G26" s="52" t="s">
        <v>303</v>
      </c>
    </row>
    <row r="27" spans="1:7" ht="16.95" customHeight="1" x14ac:dyDescent="0.3">
      <c r="A27" s="39" t="s">
        <v>63</v>
      </c>
      <c r="B27" s="31">
        <v>10.24</v>
      </c>
      <c r="C27" s="31">
        <v>10.14</v>
      </c>
      <c r="D27" s="31">
        <v>10.82</v>
      </c>
      <c r="E27" s="29">
        <v>0.68</v>
      </c>
      <c r="F27" s="31" t="s">
        <v>312</v>
      </c>
      <c r="G27" s="51" t="s">
        <v>308</v>
      </c>
    </row>
    <row r="28" spans="1:7" ht="16.95" customHeight="1" x14ac:dyDescent="0.3">
      <c r="A28" s="36" t="s">
        <v>64</v>
      </c>
      <c r="B28" s="35">
        <v>4.47</v>
      </c>
      <c r="C28" s="35">
        <v>4.54</v>
      </c>
      <c r="D28" s="35">
        <v>4.05</v>
      </c>
      <c r="E28" s="34">
        <v>-0.49</v>
      </c>
      <c r="F28" s="35" t="s">
        <v>313</v>
      </c>
      <c r="G28" s="53" t="s">
        <v>308</v>
      </c>
    </row>
    <row r="29" spans="1:7" ht="16.95" customHeight="1" x14ac:dyDescent="0.3">
      <c r="A29" s="39" t="s">
        <v>65</v>
      </c>
      <c r="B29" s="31">
        <v>2.76</v>
      </c>
      <c r="C29" s="31">
        <v>2.74</v>
      </c>
      <c r="D29" s="31">
        <v>2.92</v>
      </c>
      <c r="E29" s="29">
        <v>0.18</v>
      </c>
      <c r="F29" s="31" t="s">
        <v>312</v>
      </c>
      <c r="G29" s="51" t="s">
        <v>308</v>
      </c>
    </row>
    <row r="30" spans="1:7" ht="16.95" customHeight="1" x14ac:dyDescent="0.3">
      <c r="A30" s="36" t="s">
        <v>66</v>
      </c>
      <c r="B30" s="35">
        <v>1.56</v>
      </c>
      <c r="C30" s="35">
        <v>1.45</v>
      </c>
      <c r="D30" s="35">
        <v>2.21</v>
      </c>
      <c r="E30" s="33">
        <v>0.75</v>
      </c>
      <c r="F30" s="35" t="s">
        <v>314</v>
      </c>
      <c r="G30" s="50" t="s">
        <v>305</v>
      </c>
    </row>
    <row r="31" spans="1:7" ht="16.95" customHeight="1" x14ac:dyDescent="0.3">
      <c r="A31" s="39" t="s">
        <v>53</v>
      </c>
      <c r="B31" s="31">
        <v>8.02</v>
      </c>
      <c r="C31" s="31">
        <v>8.51</v>
      </c>
      <c r="D31" s="31">
        <v>5.17</v>
      </c>
      <c r="E31" s="30">
        <v>-3.34</v>
      </c>
      <c r="F31" s="31" t="s">
        <v>315</v>
      </c>
      <c r="G31" s="48" t="s">
        <v>305</v>
      </c>
    </row>
  </sheetData>
  <mergeCells count="4">
    <mergeCell ref="A15:H15"/>
    <mergeCell ref="A3:H3"/>
    <mergeCell ref="A14:H14"/>
    <mergeCell ref="A1:H1"/>
  </mergeCells>
  <pageMargins left="0.75" right="0.75" top="1" bottom="1" header="0.5" footer="0.5"/>
  <ignoredErrors>
    <ignoredError sqref="B5:B12 F17:F3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39C12"/>
  </sheetPr>
  <dimension ref="A1:P32"/>
  <sheetViews>
    <sheetView showGridLines="0" workbookViewId="0">
      <selection activeCell="F38" sqref="F38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8.5546875" bestFit="1" customWidth="1"/>
    <col min="4" max="4" width="8.6640625" bestFit="1" customWidth="1"/>
    <col min="5" max="5" width="11" bestFit="1" customWidth="1"/>
    <col min="6" max="6" width="15.77734375" bestFit="1" customWidth="1"/>
    <col min="7" max="7" width="33.21875" bestFit="1" customWidth="1"/>
  </cols>
  <sheetData>
    <row r="1" spans="1:9" ht="28.05" customHeight="1" x14ac:dyDescent="0.3">
      <c r="A1" s="118" t="s">
        <v>316</v>
      </c>
      <c r="B1" s="96"/>
      <c r="C1" s="96"/>
      <c r="D1" s="96"/>
      <c r="E1" s="96"/>
      <c r="F1" s="96"/>
      <c r="G1" s="96"/>
    </row>
    <row r="3" spans="1:9" ht="22.05" customHeight="1" x14ac:dyDescent="0.3">
      <c r="A3" s="128" t="s">
        <v>317</v>
      </c>
      <c r="B3" s="128"/>
      <c r="C3" s="128"/>
      <c r="D3" s="128"/>
      <c r="E3" s="128"/>
      <c r="F3" s="128"/>
      <c r="G3" s="128"/>
      <c r="H3" s="128"/>
      <c r="I3" s="128"/>
    </row>
    <row r="4" spans="1:9" ht="26.4" x14ac:dyDescent="0.3">
      <c r="A4" s="17" t="s">
        <v>318</v>
      </c>
      <c r="B4" s="17" t="s">
        <v>9</v>
      </c>
      <c r="C4" s="17" t="s">
        <v>10</v>
      </c>
      <c r="D4" s="17" t="s">
        <v>319</v>
      </c>
      <c r="E4" s="17" t="s">
        <v>12</v>
      </c>
      <c r="F4" s="17" t="s">
        <v>320</v>
      </c>
      <c r="G4" s="17" t="s">
        <v>321</v>
      </c>
    </row>
    <row r="5" spans="1:9" ht="18" customHeight="1" x14ac:dyDescent="0.3">
      <c r="A5" s="41">
        <v>0</v>
      </c>
      <c r="B5" s="31">
        <v>555</v>
      </c>
      <c r="C5" s="31">
        <v>79</v>
      </c>
      <c r="D5" s="31">
        <v>476</v>
      </c>
      <c r="E5" s="54" t="s">
        <v>322</v>
      </c>
      <c r="F5" s="54" t="s">
        <v>323</v>
      </c>
      <c r="G5" s="55" t="s">
        <v>324</v>
      </c>
    </row>
    <row r="6" spans="1:9" ht="18" customHeight="1" x14ac:dyDescent="0.3">
      <c r="A6" s="38">
        <v>1</v>
      </c>
      <c r="B6" s="35">
        <v>945</v>
      </c>
      <c r="C6" s="35">
        <v>99</v>
      </c>
      <c r="D6" s="35">
        <v>846</v>
      </c>
      <c r="E6" s="44" t="s">
        <v>325</v>
      </c>
      <c r="F6" s="44" t="s">
        <v>326</v>
      </c>
      <c r="G6" s="56" t="s">
        <v>327</v>
      </c>
    </row>
    <row r="7" spans="1:9" ht="18" customHeight="1" x14ac:dyDescent="0.3">
      <c r="A7" s="41">
        <v>2</v>
      </c>
      <c r="B7" s="31">
        <v>608</v>
      </c>
      <c r="C7" s="31">
        <v>62</v>
      </c>
      <c r="D7" s="31">
        <v>546</v>
      </c>
      <c r="E7" s="44" t="s">
        <v>328</v>
      </c>
      <c r="F7" s="44" t="s">
        <v>329</v>
      </c>
      <c r="G7" s="56" t="s">
        <v>327</v>
      </c>
    </row>
    <row r="8" spans="1:9" ht="18" customHeight="1" x14ac:dyDescent="0.3">
      <c r="A8" s="38">
        <v>3</v>
      </c>
      <c r="B8" s="35">
        <v>348</v>
      </c>
      <c r="C8" s="35">
        <v>37</v>
      </c>
      <c r="D8" s="35">
        <v>311</v>
      </c>
      <c r="E8" s="44" t="s">
        <v>330</v>
      </c>
      <c r="F8" s="44" t="s">
        <v>331</v>
      </c>
      <c r="G8" s="56" t="s">
        <v>327</v>
      </c>
    </row>
    <row r="9" spans="1:9" ht="18" customHeight="1" x14ac:dyDescent="0.3">
      <c r="A9" s="41">
        <v>4</v>
      </c>
      <c r="B9" s="31">
        <v>133</v>
      </c>
      <c r="C9" s="31">
        <v>64</v>
      </c>
      <c r="D9" s="31">
        <v>69</v>
      </c>
      <c r="E9" s="47" t="s">
        <v>332</v>
      </c>
      <c r="F9" s="47" t="s">
        <v>333</v>
      </c>
      <c r="G9" s="57" t="s">
        <v>334</v>
      </c>
    </row>
    <row r="10" spans="1:9" ht="18" customHeight="1" x14ac:dyDescent="0.3">
      <c r="A10" s="38">
        <v>5</v>
      </c>
      <c r="B10" s="35">
        <v>49</v>
      </c>
      <c r="C10" s="35">
        <v>29</v>
      </c>
      <c r="D10" s="35">
        <v>20</v>
      </c>
      <c r="E10" s="47" t="s">
        <v>335</v>
      </c>
      <c r="F10" s="47" t="s">
        <v>336</v>
      </c>
      <c r="G10" s="57" t="s">
        <v>334</v>
      </c>
    </row>
    <row r="11" spans="1:9" ht="18" customHeight="1" x14ac:dyDescent="0.3">
      <c r="A11" s="41">
        <v>6</v>
      </c>
      <c r="B11" s="31">
        <v>17</v>
      </c>
      <c r="C11" s="31">
        <v>10</v>
      </c>
      <c r="D11" s="31">
        <v>7</v>
      </c>
      <c r="E11" s="47" t="s">
        <v>337</v>
      </c>
      <c r="F11" s="47" t="s">
        <v>338</v>
      </c>
      <c r="G11" s="57" t="s">
        <v>334</v>
      </c>
    </row>
    <row r="12" spans="1:9" ht="18" customHeight="1" x14ac:dyDescent="0.3">
      <c r="A12" s="38">
        <v>7</v>
      </c>
      <c r="B12" s="35">
        <v>8</v>
      </c>
      <c r="C12" s="35">
        <v>5</v>
      </c>
      <c r="D12" s="35">
        <v>3</v>
      </c>
      <c r="E12" s="47" t="s">
        <v>339</v>
      </c>
      <c r="F12" s="47" t="s">
        <v>340</v>
      </c>
      <c r="G12" s="57" t="s">
        <v>334</v>
      </c>
    </row>
    <row r="13" spans="1:9" ht="18" customHeight="1" x14ac:dyDescent="0.3">
      <c r="A13" s="41">
        <v>8</v>
      </c>
      <c r="B13" s="31">
        <v>1</v>
      </c>
      <c r="C13" s="31">
        <v>1</v>
      </c>
      <c r="D13" s="31">
        <v>0</v>
      </c>
      <c r="E13" s="47" t="s">
        <v>341</v>
      </c>
      <c r="F13" s="47" t="s">
        <v>342</v>
      </c>
      <c r="G13" s="57" t="s">
        <v>334</v>
      </c>
    </row>
    <row r="14" spans="1:9" ht="18" customHeight="1" x14ac:dyDescent="0.3">
      <c r="A14" s="38">
        <v>9</v>
      </c>
      <c r="B14" s="35">
        <v>2</v>
      </c>
      <c r="C14" s="35">
        <v>2</v>
      </c>
      <c r="D14" s="35">
        <v>0</v>
      </c>
      <c r="E14" s="47" t="s">
        <v>341</v>
      </c>
      <c r="F14" s="47" t="s">
        <v>342</v>
      </c>
      <c r="G14" s="57" t="s">
        <v>334</v>
      </c>
    </row>
    <row r="15" spans="1:9" ht="31.95" customHeight="1" x14ac:dyDescent="0.3">
      <c r="A15" s="115" t="s">
        <v>343</v>
      </c>
      <c r="B15" s="96"/>
      <c r="C15" s="96"/>
      <c r="D15" s="96"/>
      <c r="E15" s="96"/>
      <c r="F15" s="96"/>
      <c r="G15" s="96"/>
    </row>
    <row r="17" spans="1:16" ht="22.05" customHeight="1" x14ac:dyDescent="0.3">
      <c r="A17" s="127" t="s">
        <v>344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9"/>
      <c r="O17" s="129"/>
      <c r="P17" s="129"/>
    </row>
    <row r="18" spans="1:16" ht="26.4" x14ac:dyDescent="0.3">
      <c r="A18" s="17" t="s">
        <v>345</v>
      </c>
      <c r="B18" s="17" t="s">
        <v>9</v>
      </c>
      <c r="C18" s="17" t="s">
        <v>10</v>
      </c>
      <c r="D18" s="17" t="s">
        <v>319</v>
      </c>
      <c r="E18" s="17" t="s">
        <v>12</v>
      </c>
      <c r="F18" s="17" t="s">
        <v>320</v>
      </c>
      <c r="G18" s="17" t="s">
        <v>346</v>
      </c>
    </row>
    <row r="19" spans="1:16" ht="18" customHeight="1" x14ac:dyDescent="0.3">
      <c r="A19" s="41" t="s">
        <v>347</v>
      </c>
      <c r="B19" s="31">
        <v>182</v>
      </c>
      <c r="C19" s="31">
        <v>20</v>
      </c>
      <c r="D19" s="31">
        <v>162</v>
      </c>
      <c r="E19" s="44" t="s">
        <v>348</v>
      </c>
      <c r="F19" s="44" t="s">
        <v>349</v>
      </c>
      <c r="G19" s="56" t="s">
        <v>350</v>
      </c>
    </row>
    <row r="20" spans="1:16" ht="18" customHeight="1" x14ac:dyDescent="0.3">
      <c r="A20" s="38" t="s">
        <v>351</v>
      </c>
      <c r="B20" s="35">
        <v>579</v>
      </c>
      <c r="C20" s="35">
        <v>72</v>
      </c>
      <c r="D20" s="35">
        <v>507</v>
      </c>
      <c r="E20" s="54" t="s">
        <v>352</v>
      </c>
      <c r="F20" s="54" t="s">
        <v>353</v>
      </c>
      <c r="G20" s="55" t="s">
        <v>354</v>
      </c>
    </row>
    <row r="21" spans="1:16" ht="18" customHeight="1" x14ac:dyDescent="0.3">
      <c r="A21" s="41" t="s">
        <v>355</v>
      </c>
      <c r="B21" s="31">
        <v>921</v>
      </c>
      <c r="C21" s="31">
        <v>84</v>
      </c>
      <c r="D21" s="31">
        <v>837</v>
      </c>
      <c r="E21" s="44" t="s">
        <v>356</v>
      </c>
      <c r="F21" s="44" t="s">
        <v>357</v>
      </c>
      <c r="G21" s="56" t="s">
        <v>350</v>
      </c>
    </row>
    <row r="22" spans="1:16" ht="18" customHeight="1" x14ac:dyDescent="0.3">
      <c r="A22" s="38" t="s">
        <v>358</v>
      </c>
      <c r="B22" s="35">
        <v>682</v>
      </c>
      <c r="C22" s="35">
        <v>85</v>
      </c>
      <c r="D22" s="35">
        <v>597</v>
      </c>
      <c r="E22" s="54" t="s">
        <v>359</v>
      </c>
      <c r="F22" s="54" t="s">
        <v>353</v>
      </c>
      <c r="G22" s="55" t="s">
        <v>354</v>
      </c>
    </row>
    <row r="23" spans="1:16" ht="18" customHeight="1" x14ac:dyDescent="0.3">
      <c r="A23" s="41" t="s">
        <v>360</v>
      </c>
      <c r="B23" s="31">
        <v>224</v>
      </c>
      <c r="C23" s="31">
        <v>94</v>
      </c>
      <c r="D23" s="31">
        <v>130</v>
      </c>
      <c r="E23" s="47" t="s">
        <v>361</v>
      </c>
      <c r="F23" s="47" t="s">
        <v>362</v>
      </c>
      <c r="G23" s="57" t="s">
        <v>363</v>
      </c>
    </row>
    <row r="24" spans="1:16" ht="18" customHeight="1" x14ac:dyDescent="0.3">
      <c r="A24" s="38" t="s">
        <v>364</v>
      </c>
      <c r="B24" s="35">
        <v>32</v>
      </c>
      <c r="C24" s="35">
        <v>24</v>
      </c>
      <c r="D24" s="35">
        <v>8</v>
      </c>
      <c r="E24" s="47" t="s">
        <v>365</v>
      </c>
      <c r="F24" s="47" t="s">
        <v>366</v>
      </c>
      <c r="G24" s="57" t="s">
        <v>363</v>
      </c>
    </row>
    <row r="25" spans="1:16" ht="31.95" customHeight="1" x14ac:dyDescent="0.3">
      <c r="A25" s="115" t="s">
        <v>367</v>
      </c>
      <c r="B25" s="96"/>
      <c r="C25" s="96"/>
      <c r="D25" s="96"/>
      <c r="E25" s="96"/>
      <c r="F25" s="96"/>
      <c r="G25" s="96"/>
    </row>
    <row r="27" spans="1:16" ht="22.05" customHeight="1" x14ac:dyDescent="0.3">
      <c r="A27" s="114" t="s">
        <v>368</v>
      </c>
      <c r="B27" s="96"/>
      <c r="C27" s="96"/>
      <c r="D27" s="96"/>
      <c r="E27" s="96"/>
      <c r="F27" s="96"/>
      <c r="G27" s="96"/>
    </row>
    <row r="28" spans="1:16" ht="118.8" x14ac:dyDescent="0.3">
      <c r="A28" s="17" t="s">
        <v>369</v>
      </c>
      <c r="B28" s="17" t="s">
        <v>9</v>
      </c>
      <c r="C28" s="17" t="s">
        <v>10</v>
      </c>
      <c r="D28" s="17" t="s">
        <v>11</v>
      </c>
      <c r="E28" s="17" t="s">
        <v>12</v>
      </c>
      <c r="F28" s="17" t="s">
        <v>320</v>
      </c>
      <c r="G28" s="17" t="s">
        <v>370</v>
      </c>
    </row>
    <row r="29" spans="1:16" ht="28.05" customHeight="1" x14ac:dyDescent="0.3">
      <c r="A29" s="45" t="s">
        <v>371</v>
      </c>
      <c r="B29" s="46">
        <v>270</v>
      </c>
      <c r="C29" s="46">
        <v>118</v>
      </c>
      <c r="D29" s="46">
        <v>152</v>
      </c>
      <c r="E29" s="47" t="s">
        <v>372</v>
      </c>
      <c r="F29" s="47" t="s">
        <v>373</v>
      </c>
      <c r="G29" s="58" t="s">
        <v>374</v>
      </c>
    </row>
    <row r="30" spans="1:16" ht="28.05" customHeight="1" x14ac:dyDescent="0.3">
      <c r="A30" s="42" t="s">
        <v>375</v>
      </c>
      <c r="B30" s="43">
        <v>2396</v>
      </c>
      <c r="C30" s="43">
        <v>270</v>
      </c>
      <c r="D30" s="43">
        <v>2126</v>
      </c>
      <c r="E30" s="44" t="s">
        <v>376</v>
      </c>
      <c r="F30" s="44" t="s">
        <v>377</v>
      </c>
      <c r="G30" s="59" t="s">
        <v>378</v>
      </c>
    </row>
    <row r="31" spans="1:16" ht="28.05" customHeight="1" x14ac:dyDescent="0.3">
      <c r="A31" s="42" t="s">
        <v>379</v>
      </c>
      <c r="B31" s="43">
        <v>733</v>
      </c>
      <c r="C31" s="43">
        <v>65</v>
      </c>
      <c r="D31" s="43">
        <v>668</v>
      </c>
      <c r="E31" s="44" t="s">
        <v>380</v>
      </c>
      <c r="F31" s="44" t="s">
        <v>381</v>
      </c>
      <c r="G31" s="59" t="s">
        <v>382</v>
      </c>
    </row>
    <row r="32" spans="1:16" ht="28.05" customHeight="1" x14ac:dyDescent="0.3">
      <c r="A32" s="42" t="s">
        <v>383</v>
      </c>
      <c r="B32" s="43">
        <v>1933</v>
      </c>
      <c r="C32" s="43">
        <v>323</v>
      </c>
      <c r="D32" s="43">
        <v>1610</v>
      </c>
      <c r="E32" s="44" t="s">
        <v>384</v>
      </c>
      <c r="F32" s="44" t="s">
        <v>385</v>
      </c>
      <c r="G32" s="59" t="s">
        <v>386</v>
      </c>
    </row>
  </sheetData>
  <mergeCells count="5">
    <mergeCell ref="A1:G1"/>
    <mergeCell ref="A27:G27"/>
    <mergeCell ref="A15:G15"/>
    <mergeCell ref="A25:G25"/>
    <mergeCell ref="A3:I3"/>
  </mergeCells>
  <pageMargins left="0.75" right="0.75" top="1" bottom="1" header="0.5" footer="0.5"/>
  <ignoredErrors>
    <ignoredError sqref="E29 E30:E32 A19:G25 A5:G1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H24"/>
  <sheetViews>
    <sheetView showGridLines="0" workbookViewId="0">
      <selection activeCell="C13" sqref="C13"/>
    </sheetView>
  </sheetViews>
  <sheetFormatPr defaultRowHeight="14.4" x14ac:dyDescent="0.3"/>
  <cols>
    <col min="1" max="1" width="24.88671875" bestFit="1" customWidth="1"/>
    <col min="2" max="2" width="25.5546875" bestFit="1" customWidth="1"/>
    <col min="3" max="3" width="20.77734375" bestFit="1" customWidth="1"/>
    <col min="4" max="4" width="26.33203125" bestFit="1" customWidth="1"/>
    <col min="5" max="5" width="8.88671875" bestFit="1" customWidth="1"/>
    <col min="6" max="6" width="12.21875" bestFit="1" customWidth="1"/>
    <col min="7" max="7" width="44.44140625" bestFit="1" customWidth="1"/>
    <col min="8" max="8" width="36" customWidth="1"/>
  </cols>
  <sheetData>
    <row r="1" spans="1:8" ht="28.05" customHeight="1" x14ac:dyDescent="0.3">
      <c r="A1" s="118" t="s">
        <v>387</v>
      </c>
      <c r="B1" s="96"/>
      <c r="C1" s="96"/>
      <c r="D1" s="96"/>
      <c r="E1" s="96"/>
      <c r="F1" s="96"/>
      <c r="G1" s="96"/>
      <c r="H1" s="96"/>
    </row>
    <row r="3" spans="1:8" ht="22.05" customHeight="1" x14ac:dyDescent="0.3">
      <c r="A3" s="114" t="s">
        <v>388</v>
      </c>
      <c r="B3" s="96"/>
      <c r="C3" s="96"/>
      <c r="D3" s="96"/>
      <c r="E3" s="96"/>
      <c r="F3" s="96"/>
      <c r="G3" s="96"/>
      <c r="H3" s="96"/>
    </row>
    <row r="4" spans="1:8" ht="28.05" customHeight="1" x14ac:dyDescent="0.3">
      <c r="A4" s="119" t="s">
        <v>389</v>
      </c>
      <c r="B4" s="96"/>
      <c r="C4" s="96"/>
      <c r="D4" s="96"/>
      <c r="E4" s="96"/>
      <c r="F4" s="96"/>
      <c r="G4" s="96"/>
      <c r="H4" s="96"/>
    </row>
    <row r="6" spans="1:8" ht="36" customHeight="1" x14ac:dyDescent="0.3">
      <c r="A6" s="60"/>
      <c r="B6" s="17" t="s">
        <v>390</v>
      </c>
      <c r="C6" s="17" t="s">
        <v>391</v>
      </c>
    </row>
    <row r="7" spans="1:8" ht="36" customHeight="1" x14ac:dyDescent="0.3">
      <c r="A7" s="17" t="s">
        <v>392</v>
      </c>
      <c r="B7" s="61" t="s">
        <v>393</v>
      </c>
      <c r="C7" s="62" t="s">
        <v>394</v>
      </c>
    </row>
    <row r="8" spans="1:8" ht="36" customHeight="1" x14ac:dyDescent="0.3">
      <c r="A8" s="17" t="s">
        <v>395</v>
      </c>
      <c r="B8" s="63" t="s">
        <v>396</v>
      </c>
      <c r="C8" s="61" t="s">
        <v>397</v>
      </c>
    </row>
    <row r="10" spans="1:8" ht="22.05" customHeight="1" x14ac:dyDescent="0.3">
      <c r="A10" s="114" t="s">
        <v>398</v>
      </c>
      <c r="B10" s="96"/>
      <c r="C10" s="96"/>
      <c r="D10" s="96"/>
      <c r="E10" s="96"/>
      <c r="F10" s="96"/>
      <c r="G10" s="96"/>
      <c r="H10" s="96"/>
    </row>
    <row r="11" spans="1:8" ht="18" customHeight="1" x14ac:dyDescent="0.3">
      <c r="A11" s="17" t="s">
        <v>399</v>
      </c>
      <c r="B11" s="17" t="s">
        <v>400</v>
      </c>
      <c r="C11" s="17" t="s">
        <v>401</v>
      </c>
      <c r="D11" s="17" t="s">
        <v>402</v>
      </c>
      <c r="E11" s="17" t="s">
        <v>403</v>
      </c>
      <c r="F11" s="17" t="s">
        <v>404</v>
      </c>
      <c r="G11" s="17" t="s">
        <v>405</v>
      </c>
    </row>
    <row r="12" spans="1:8" ht="36" customHeight="1" x14ac:dyDescent="0.3">
      <c r="A12" s="39" t="s">
        <v>406</v>
      </c>
      <c r="B12" s="31" t="s">
        <v>407</v>
      </c>
      <c r="C12" s="29" t="s">
        <v>408</v>
      </c>
      <c r="D12" s="29" t="s">
        <v>409</v>
      </c>
      <c r="E12" s="31" t="s">
        <v>410</v>
      </c>
      <c r="F12" s="31" t="s">
        <v>411</v>
      </c>
      <c r="G12" s="23" t="s">
        <v>412</v>
      </c>
    </row>
    <row r="13" spans="1:8" ht="36" customHeight="1" x14ac:dyDescent="0.3">
      <c r="A13" s="36" t="s">
        <v>413</v>
      </c>
      <c r="B13" s="35" t="s">
        <v>414</v>
      </c>
      <c r="C13" s="35" t="s">
        <v>415</v>
      </c>
      <c r="D13" s="35" t="s">
        <v>416</v>
      </c>
      <c r="E13" s="35" t="s">
        <v>417</v>
      </c>
      <c r="F13" s="35" t="s">
        <v>418</v>
      </c>
      <c r="G13" s="19" t="s">
        <v>419</v>
      </c>
    </row>
    <row r="14" spans="1:8" ht="36" customHeight="1" x14ac:dyDescent="0.3">
      <c r="A14" s="64" t="s">
        <v>420</v>
      </c>
      <c r="B14" s="65" t="s">
        <v>421</v>
      </c>
      <c r="C14" s="65" t="s">
        <v>422</v>
      </c>
      <c r="D14" s="65" t="s">
        <v>423</v>
      </c>
      <c r="E14" s="65" t="s">
        <v>424</v>
      </c>
      <c r="F14" s="65" t="s">
        <v>425</v>
      </c>
      <c r="G14" s="66" t="s">
        <v>426</v>
      </c>
    </row>
    <row r="15" spans="1:8" ht="36" customHeight="1" x14ac:dyDescent="0.3">
      <c r="A15" s="55" t="s">
        <v>427</v>
      </c>
      <c r="B15" s="67" t="s">
        <v>428</v>
      </c>
      <c r="C15" s="67" t="s">
        <v>429</v>
      </c>
      <c r="D15" s="67" t="s">
        <v>430</v>
      </c>
      <c r="E15" s="68" t="s">
        <v>431</v>
      </c>
      <c r="F15" s="67" t="s">
        <v>432</v>
      </c>
      <c r="G15" s="69" t="s">
        <v>433</v>
      </c>
    </row>
    <row r="17" spans="1:8" ht="24" customHeight="1" x14ac:dyDescent="0.3">
      <c r="A17" s="121" t="s">
        <v>434</v>
      </c>
      <c r="B17" s="96"/>
      <c r="C17" s="96"/>
      <c r="D17" s="96"/>
      <c r="E17" s="96"/>
      <c r="F17" s="96"/>
      <c r="G17" s="96"/>
      <c r="H17" s="96"/>
    </row>
    <row r="19" spans="1:8" ht="22.05" customHeight="1" x14ac:dyDescent="0.3">
      <c r="A19" s="114" t="s">
        <v>435</v>
      </c>
      <c r="B19" s="96"/>
      <c r="C19" s="96"/>
      <c r="D19" s="96"/>
      <c r="E19" s="96"/>
      <c r="F19" s="96"/>
      <c r="G19" s="96"/>
      <c r="H19" s="96"/>
    </row>
    <row r="20" spans="1:8" ht="52.8" x14ac:dyDescent="0.3">
      <c r="A20" s="17" t="s">
        <v>263</v>
      </c>
      <c r="B20" s="17" t="s">
        <v>436</v>
      </c>
      <c r="C20" s="17" t="s">
        <v>207</v>
      </c>
      <c r="D20" s="17" t="s">
        <v>437</v>
      </c>
    </row>
    <row r="21" spans="1:8" ht="28.05" customHeight="1" x14ac:dyDescent="0.3">
      <c r="A21" s="130" t="s">
        <v>438</v>
      </c>
      <c r="B21" s="131" t="s">
        <v>439</v>
      </c>
      <c r="C21" s="132" t="s">
        <v>440</v>
      </c>
      <c r="D21" s="132" t="s">
        <v>441</v>
      </c>
    </row>
    <row r="22" spans="1:8" ht="28.05" customHeight="1" x14ac:dyDescent="0.3">
      <c r="A22" s="133" t="s">
        <v>442</v>
      </c>
      <c r="B22" s="134" t="s">
        <v>192</v>
      </c>
      <c r="C22" s="135" t="s">
        <v>443</v>
      </c>
      <c r="D22" s="135" t="s">
        <v>444</v>
      </c>
    </row>
    <row r="23" spans="1:8" ht="28.05" customHeight="1" x14ac:dyDescent="0.3">
      <c r="A23" s="136" t="s">
        <v>445</v>
      </c>
      <c r="B23" s="137" t="s">
        <v>446</v>
      </c>
      <c r="C23" s="138" t="s">
        <v>447</v>
      </c>
      <c r="D23" s="138" t="s">
        <v>448</v>
      </c>
    </row>
    <row r="24" spans="1:8" ht="28.05" customHeight="1" x14ac:dyDescent="0.3">
      <c r="A24" s="139" t="s">
        <v>449</v>
      </c>
      <c r="B24" s="140" t="s">
        <v>450</v>
      </c>
      <c r="C24" s="141" t="s">
        <v>451</v>
      </c>
      <c r="D24" s="141" t="s">
        <v>452</v>
      </c>
    </row>
  </sheetData>
  <mergeCells count="6">
    <mergeCell ref="A4:H4"/>
    <mergeCell ref="A3:H3"/>
    <mergeCell ref="A10:H10"/>
    <mergeCell ref="A19:H19"/>
    <mergeCell ref="A1:H1"/>
    <mergeCell ref="A17:H17"/>
  </mergeCells>
  <pageMargins left="0.75" right="0.75" top="1" bottom="1" header="0.5" footer="0.5"/>
  <ignoredErrors>
    <ignoredError sqref="B21:B24 B12:F1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44AD"/>
  </sheetPr>
  <dimension ref="A1:G34"/>
  <sheetViews>
    <sheetView showGridLines="0" topLeftCell="A11" workbookViewId="0">
      <selection activeCell="C8" sqref="C8:C11"/>
    </sheetView>
  </sheetViews>
  <sheetFormatPr defaultRowHeight="14.4" x14ac:dyDescent="0.3"/>
  <cols>
    <col min="1" max="1" width="13.33203125" customWidth="1"/>
    <col min="2" max="2" width="21.44140625" bestFit="1" customWidth="1"/>
    <col min="3" max="3" width="14.88671875" bestFit="1" customWidth="1"/>
    <col min="4" max="4" width="16.88671875" bestFit="1" customWidth="1"/>
    <col min="5" max="5" width="37.21875" bestFit="1" customWidth="1"/>
    <col min="6" max="6" width="17.88671875" bestFit="1" customWidth="1"/>
    <col min="7" max="7" width="18.77734375" bestFit="1" customWidth="1"/>
  </cols>
  <sheetData>
    <row r="1" spans="1:7" ht="28.05" customHeight="1" x14ac:dyDescent="0.3">
      <c r="A1" s="118" t="s">
        <v>453</v>
      </c>
      <c r="B1" s="96"/>
      <c r="C1" s="96"/>
      <c r="D1" s="96"/>
      <c r="E1" s="96"/>
      <c r="F1" s="96"/>
      <c r="G1" s="96"/>
    </row>
    <row r="3" spans="1:7" ht="22.05" customHeight="1" x14ac:dyDescent="0.3">
      <c r="A3" s="114" t="s">
        <v>454</v>
      </c>
      <c r="B3" s="96"/>
      <c r="C3" s="96"/>
      <c r="D3" s="96"/>
      <c r="E3" s="96"/>
      <c r="F3" s="96"/>
      <c r="G3" s="96"/>
    </row>
    <row r="4" spans="1:7" ht="36" customHeight="1" x14ac:dyDescent="0.3">
      <c r="A4" s="119" t="s">
        <v>455</v>
      </c>
      <c r="B4" s="96"/>
      <c r="C4" s="96"/>
      <c r="D4" s="96"/>
      <c r="E4" s="96"/>
      <c r="F4" s="96"/>
      <c r="G4" s="96"/>
    </row>
    <row r="6" spans="1:7" ht="22.05" customHeight="1" x14ac:dyDescent="0.3">
      <c r="A6" s="114" t="s">
        <v>456</v>
      </c>
      <c r="B6" s="96"/>
      <c r="C6" s="96"/>
      <c r="D6" s="96"/>
      <c r="E6" s="96"/>
      <c r="F6" s="96"/>
      <c r="G6" s="96"/>
    </row>
    <row r="7" spans="1:7" ht="132" x14ac:dyDescent="0.3">
      <c r="A7" s="17" t="s">
        <v>457</v>
      </c>
      <c r="B7" s="17" t="s">
        <v>458</v>
      </c>
      <c r="C7" s="17" t="s">
        <v>459</v>
      </c>
      <c r="D7" s="17" t="s">
        <v>460</v>
      </c>
      <c r="E7" s="17" t="s">
        <v>461</v>
      </c>
      <c r="F7" s="17" t="s">
        <v>462</v>
      </c>
    </row>
    <row r="8" spans="1:7" ht="40.049999999999997" customHeight="1" x14ac:dyDescent="0.3">
      <c r="A8" s="70" t="s">
        <v>463</v>
      </c>
      <c r="B8" s="19" t="s">
        <v>464</v>
      </c>
      <c r="C8" s="71" t="s">
        <v>465</v>
      </c>
      <c r="D8" s="19" t="s">
        <v>466</v>
      </c>
      <c r="E8" s="19" t="s">
        <v>467</v>
      </c>
      <c r="F8" s="19" t="s">
        <v>468</v>
      </c>
    </row>
    <row r="9" spans="1:7" ht="40.049999999999997" customHeight="1" x14ac:dyDescent="0.3">
      <c r="A9" s="72" t="s">
        <v>469</v>
      </c>
      <c r="B9" s="23" t="s">
        <v>470</v>
      </c>
      <c r="C9" s="73" t="s">
        <v>465</v>
      </c>
      <c r="D9" s="23" t="s">
        <v>471</v>
      </c>
      <c r="E9" s="23" t="s">
        <v>472</v>
      </c>
      <c r="F9" s="23" t="s">
        <v>473</v>
      </c>
    </row>
    <row r="10" spans="1:7" ht="40.049999999999997" customHeight="1" x14ac:dyDescent="0.3">
      <c r="A10" s="70" t="s">
        <v>474</v>
      </c>
      <c r="B10" s="19" t="s">
        <v>475</v>
      </c>
      <c r="C10" s="71" t="s">
        <v>476</v>
      </c>
      <c r="D10" s="19" t="s">
        <v>477</v>
      </c>
      <c r="E10" s="19" t="s">
        <v>478</v>
      </c>
      <c r="F10" s="19" t="s">
        <v>479</v>
      </c>
    </row>
    <row r="11" spans="1:7" ht="40.049999999999997" customHeight="1" x14ac:dyDescent="0.3">
      <c r="A11" s="72" t="s">
        <v>480</v>
      </c>
      <c r="B11" s="23" t="s">
        <v>481</v>
      </c>
      <c r="C11" s="73" t="s">
        <v>476</v>
      </c>
      <c r="D11" s="23" t="s">
        <v>482</v>
      </c>
      <c r="E11" s="23" t="s">
        <v>483</v>
      </c>
      <c r="F11" s="23" t="s">
        <v>484</v>
      </c>
    </row>
    <row r="13" spans="1:7" ht="24" customHeight="1" x14ac:dyDescent="0.3">
      <c r="A13" s="122" t="s">
        <v>485</v>
      </c>
      <c r="B13" s="96"/>
      <c r="C13" s="96"/>
      <c r="D13" s="96"/>
      <c r="E13" s="96"/>
      <c r="F13" s="96"/>
      <c r="G13" s="96"/>
    </row>
    <row r="15" spans="1:7" ht="22.05" customHeight="1" x14ac:dyDescent="0.3">
      <c r="A15" s="114" t="s">
        <v>486</v>
      </c>
      <c r="B15" s="96"/>
      <c r="C15" s="96"/>
      <c r="D15" s="96"/>
      <c r="E15" s="96"/>
      <c r="F15" s="96"/>
      <c r="G15" s="96"/>
    </row>
    <row r="16" spans="1:7" ht="52.8" x14ac:dyDescent="0.3">
      <c r="A16" s="17" t="s">
        <v>487</v>
      </c>
      <c r="B16" s="17" t="s">
        <v>488</v>
      </c>
      <c r="C16" s="17" t="s">
        <v>469</v>
      </c>
      <c r="D16" s="17" t="s">
        <v>474</v>
      </c>
      <c r="E16" s="17" t="s">
        <v>480</v>
      </c>
      <c r="F16" s="17" t="s">
        <v>489</v>
      </c>
      <c r="G16" s="17" t="s">
        <v>490</v>
      </c>
    </row>
    <row r="17" spans="1:7" ht="18" customHeight="1" x14ac:dyDescent="0.3">
      <c r="A17" s="74">
        <v>1</v>
      </c>
      <c r="B17" s="67">
        <v>100</v>
      </c>
      <c r="C17" s="67" t="s">
        <v>491</v>
      </c>
      <c r="D17" s="67">
        <v>5</v>
      </c>
      <c r="E17" s="67" t="s">
        <v>491</v>
      </c>
      <c r="F17" s="67" t="s">
        <v>492</v>
      </c>
      <c r="G17" s="68" t="s">
        <v>493</v>
      </c>
    </row>
    <row r="18" spans="1:7" ht="18" customHeight="1" x14ac:dyDescent="0.3">
      <c r="A18" s="75">
        <v>2</v>
      </c>
      <c r="B18" s="35">
        <v>200</v>
      </c>
      <c r="C18" s="35" t="s">
        <v>491</v>
      </c>
      <c r="D18" s="35">
        <v>5</v>
      </c>
      <c r="E18" s="35" t="s">
        <v>491</v>
      </c>
      <c r="F18" s="35" t="s">
        <v>494</v>
      </c>
      <c r="G18" s="35"/>
    </row>
    <row r="19" spans="1:7" ht="18" customHeight="1" x14ac:dyDescent="0.3">
      <c r="A19" s="76">
        <v>3</v>
      </c>
      <c r="B19" s="31">
        <v>100</v>
      </c>
      <c r="C19" s="31" t="s">
        <v>491</v>
      </c>
      <c r="D19" s="31">
        <v>2</v>
      </c>
      <c r="E19" s="31" t="s">
        <v>491</v>
      </c>
      <c r="F19" s="31" t="s">
        <v>495</v>
      </c>
      <c r="G19" s="31"/>
    </row>
    <row r="20" spans="1:7" ht="18" customHeight="1" x14ac:dyDescent="0.3">
      <c r="A20" s="75">
        <v>4</v>
      </c>
      <c r="B20" s="35">
        <v>200</v>
      </c>
      <c r="C20" s="35" t="s">
        <v>491</v>
      </c>
      <c r="D20" s="35">
        <v>2</v>
      </c>
      <c r="E20" s="35" t="s">
        <v>491</v>
      </c>
      <c r="F20" s="35" t="s">
        <v>496</v>
      </c>
      <c r="G20" s="35"/>
    </row>
    <row r="21" spans="1:7" ht="18" customHeight="1" x14ac:dyDescent="0.3">
      <c r="A21" s="76">
        <v>5</v>
      </c>
      <c r="B21" s="31">
        <v>50</v>
      </c>
      <c r="C21" s="31" t="s">
        <v>491</v>
      </c>
      <c r="D21" s="31">
        <v>5</v>
      </c>
      <c r="E21" s="31" t="s">
        <v>491</v>
      </c>
      <c r="F21" s="31" t="s">
        <v>497</v>
      </c>
      <c r="G21" s="31"/>
    </row>
    <row r="22" spans="1:7" ht="18" customHeight="1" x14ac:dyDescent="0.3">
      <c r="A22" s="75">
        <v>6</v>
      </c>
      <c r="B22" s="35">
        <v>100</v>
      </c>
      <c r="C22" s="35">
        <v>20</v>
      </c>
      <c r="D22" s="35">
        <v>5</v>
      </c>
      <c r="E22" s="35" t="s">
        <v>491</v>
      </c>
      <c r="F22" s="35" t="s">
        <v>498</v>
      </c>
      <c r="G22" s="35"/>
    </row>
    <row r="23" spans="1:7" ht="18" customHeight="1" x14ac:dyDescent="0.3">
      <c r="A23" s="76">
        <v>7</v>
      </c>
      <c r="B23" s="31">
        <v>200</v>
      </c>
      <c r="C23" s="31">
        <v>20</v>
      </c>
      <c r="D23" s="31">
        <v>5</v>
      </c>
      <c r="E23" s="31" t="s">
        <v>491</v>
      </c>
      <c r="F23" s="31" t="s">
        <v>499</v>
      </c>
      <c r="G23" s="31"/>
    </row>
    <row r="24" spans="1:7" ht="18" customHeight="1" x14ac:dyDescent="0.3">
      <c r="A24" s="75">
        <v>8</v>
      </c>
      <c r="B24" s="35">
        <v>100</v>
      </c>
      <c r="C24" s="35" t="s">
        <v>491</v>
      </c>
      <c r="D24" s="35">
        <v>5</v>
      </c>
      <c r="E24" s="35" t="s">
        <v>500</v>
      </c>
      <c r="F24" s="35" t="s">
        <v>501</v>
      </c>
      <c r="G24" s="35"/>
    </row>
    <row r="25" spans="1:7" ht="18" customHeight="1" x14ac:dyDescent="0.3">
      <c r="A25" s="76">
        <v>9</v>
      </c>
      <c r="B25" s="31">
        <v>50</v>
      </c>
      <c r="C25" s="31" t="s">
        <v>491</v>
      </c>
      <c r="D25" s="31">
        <v>2</v>
      </c>
      <c r="E25" s="31" t="s">
        <v>491</v>
      </c>
      <c r="F25" s="31" t="s">
        <v>502</v>
      </c>
      <c r="G25" s="31"/>
    </row>
    <row r="26" spans="1:7" ht="18" customHeight="1" x14ac:dyDescent="0.3">
      <c r="A26" s="75">
        <v>10</v>
      </c>
      <c r="B26" s="35">
        <v>100</v>
      </c>
      <c r="C26" s="35">
        <v>10</v>
      </c>
      <c r="D26" s="35">
        <v>5</v>
      </c>
      <c r="E26" s="35" t="s">
        <v>491</v>
      </c>
      <c r="F26" s="35" t="s">
        <v>503</v>
      </c>
      <c r="G26" s="35"/>
    </row>
    <row r="28" spans="1:7" ht="22.05" customHeight="1" x14ac:dyDescent="0.3">
      <c r="A28" s="114" t="s">
        <v>504</v>
      </c>
      <c r="B28" s="96"/>
      <c r="C28" s="96"/>
      <c r="D28" s="96"/>
      <c r="E28" s="96"/>
      <c r="F28" s="96"/>
      <c r="G28" s="96"/>
    </row>
    <row r="29" spans="1:7" ht="52.8" x14ac:dyDescent="0.3">
      <c r="A29" s="17" t="s">
        <v>263</v>
      </c>
      <c r="B29" s="17" t="s">
        <v>505</v>
      </c>
      <c r="C29" s="17" t="s">
        <v>506</v>
      </c>
      <c r="D29" s="17" t="s">
        <v>507</v>
      </c>
      <c r="E29" s="17" t="s">
        <v>508</v>
      </c>
    </row>
    <row r="30" spans="1:7" ht="22.05" customHeight="1" x14ac:dyDescent="0.3">
      <c r="A30" s="32" t="s">
        <v>400</v>
      </c>
      <c r="B30" s="35" t="s">
        <v>421</v>
      </c>
      <c r="C30" s="35" t="s">
        <v>428</v>
      </c>
      <c r="D30" s="32" t="s">
        <v>509</v>
      </c>
      <c r="E30" s="77" t="s">
        <v>510</v>
      </c>
    </row>
    <row r="31" spans="1:7" ht="22.05" customHeight="1" x14ac:dyDescent="0.3">
      <c r="A31" s="28" t="s">
        <v>401</v>
      </c>
      <c r="B31" s="31" t="s">
        <v>422</v>
      </c>
      <c r="C31" s="31" t="s">
        <v>429</v>
      </c>
      <c r="D31" s="28" t="s">
        <v>511</v>
      </c>
      <c r="E31" s="78" t="s">
        <v>510</v>
      </c>
    </row>
    <row r="32" spans="1:7" ht="22.05" customHeight="1" x14ac:dyDescent="0.3">
      <c r="A32" s="32" t="s">
        <v>402</v>
      </c>
      <c r="B32" s="35" t="s">
        <v>423</v>
      </c>
      <c r="C32" s="35" t="s">
        <v>430</v>
      </c>
      <c r="D32" s="32" t="s">
        <v>512</v>
      </c>
      <c r="E32" s="77" t="s">
        <v>513</v>
      </c>
    </row>
    <row r="33" spans="1:5" ht="22.05" customHeight="1" x14ac:dyDescent="0.3">
      <c r="A33" s="28" t="s">
        <v>403</v>
      </c>
      <c r="B33" s="31" t="s">
        <v>424</v>
      </c>
      <c r="C33" s="31" t="s">
        <v>431</v>
      </c>
      <c r="D33" s="28" t="s">
        <v>514</v>
      </c>
      <c r="E33" s="78" t="s">
        <v>510</v>
      </c>
    </row>
    <row r="34" spans="1:5" ht="22.05" customHeight="1" x14ac:dyDescent="0.3">
      <c r="A34" s="32" t="s">
        <v>515</v>
      </c>
      <c r="B34" s="35" t="s">
        <v>516</v>
      </c>
      <c r="C34" s="35" t="s">
        <v>492</v>
      </c>
      <c r="D34" s="32" t="s">
        <v>517</v>
      </c>
      <c r="E34" s="77" t="s">
        <v>518</v>
      </c>
    </row>
  </sheetData>
  <mergeCells count="7">
    <mergeCell ref="A15:G15"/>
    <mergeCell ref="A28:G28"/>
    <mergeCell ref="A13:G13"/>
    <mergeCell ref="A1:G1"/>
    <mergeCell ref="A3:G3"/>
    <mergeCell ref="A6:G6"/>
    <mergeCell ref="A4:G4"/>
  </mergeCells>
  <pageMargins left="0.75" right="0.75" top="1" bottom="1" header="0.5" footer="0.5"/>
  <ignoredErrors>
    <ignoredError sqref="B30:C34 D33:D34 F17:F26 C8:C1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44AD"/>
  </sheetPr>
  <dimension ref="A1:E64"/>
  <sheetViews>
    <sheetView showGridLines="0" topLeftCell="A2" workbookViewId="0">
      <selection sqref="A1:E1"/>
    </sheetView>
  </sheetViews>
  <sheetFormatPr defaultRowHeight="14.4" x14ac:dyDescent="0.3"/>
  <cols>
    <col min="1" max="1" width="3" customWidth="1"/>
    <col min="2" max="2" width="26" customWidth="1"/>
    <col min="3" max="3" width="30" customWidth="1"/>
    <col min="4" max="4" width="18" customWidth="1"/>
    <col min="5" max="5" width="32" customWidth="1"/>
  </cols>
  <sheetData>
    <row r="1" spans="1:5" ht="28.05" customHeight="1" x14ac:dyDescent="0.3">
      <c r="A1" s="118" t="s">
        <v>519</v>
      </c>
      <c r="B1" s="96"/>
      <c r="C1" s="96"/>
      <c r="D1" s="96"/>
      <c r="E1" s="96"/>
    </row>
    <row r="3" spans="1:5" ht="22.05" customHeight="1" x14ac:dyDescent="0.3">
      <c r="A3" s="114" t="s">
        <v>520</v>
      </c>
      <c r="B3" s="96"/>
      <c r="C3" s="96"/>
      <c r="D3" s="96"/>
      <c r="E3" s="96"/>
    </row>
    <row r="4" spans="1:5" ht="22.05" customHeight="1" x14ac:dyDescent="0.3">
      <c r="A4" s="125" t="s">
        <v>521</v>
      </c>
      <c r="B4" s="96"/>
      <c r="C4" s="96"/>
      <c r="D4" s="96"/>
      <c r="E4" s="96"/>
    </row>
    <row r="5" spans="1:5" ht="18" customHeight="1" x14ac:dyDescent="0.3">
      <c r="A5" s="126" t="s">
        <v>522</v>
      </c>
      <c r="B5" s="96"/>
      <c r="C5" s="96"/>
      <c r="D5" s="96"/>
      <c r="E5" s="96"/>
    </row>
    <row r="6" spans="1:5" ht="43.95" customHeight="1" x14ac:dyDescent="0.3">
      <c r="A6" s="123" t="s">
        <v>523</v>
      </c>
      <c r="B6" s="96"/>
      <c r="C6" s="96"/>
      <c r="D6" s="96"/>
      <c r="E6" s="96"/>
    </row>
    <row r="7" spans="1:5" ht="28.05" customHeight="1" x14ac:dyDescent="0.3">
      <c r="A7" s="124" t="s">
        <v>524</v>
      </c>
      <c r="B7" s="96"/>
      <c r="C7" s="96"/>
      <c r="D7" s="96"/>
      <c r="E7" s="96"/>
    </row>
    <row r="8" spans="1:5" ht="10.050000000000001" customHeight="1" x14ac:dyDescent="0.3"/>
    <row r="11" spans="1:5" ht="22.05" customHeight="1" x14ac:dyDescent="0.3">
      <c r="A11" s="114" t="s">
        <v>525</v>
      </c>
      <c r="B11" s="96"/>
      <c r="C11" s="96"/>
      <c r="D11" s="96"/>
      <c r="E11" s="96"/>
    </row>
    <row r="12" spans="1:5" ht="22.05" customHeight="1" x14ac:dyDescent="0.3">
      <c r="A12" s="125" t="s">
        <v>526</v>
      </c>
      <c r="B12" s="96"/>
      <c r="C12" s="96"/>
      <c r="D12" s="96"/>
      <c r="E12" s="96"/>
    </row>
    <row r="13" spans="1:5" ht="18" customHeight="1" x14ac:dyDescent="0.3">
      <c r="A13" s="126" t="s">
        <v>527</v>
      </c>
      <c r="B13" s="96"/>
      <c r="C13" s="96"/>
      <c r="D13" s="96"/>
      <c r="E13" s="96"/>
    </row>
    <row r="14" spans="1:5" ht="43.95" customHeight="1" x14ac:dyDescent="0.3">
      <c r="A14" s="123" t="s">
        <v>528</v>
      </c>
      <c r="B14" s="96"/>
      <c r="C14" s="96"/>
      <c r="D14" s="96"/>
      <c r="E14" s="96"/>
    </row>
    <row r="15" spans="1:5" ht="28.05" customHeight="1" x14ac:dyDescent="0.3">
      <c r="A15" s="124" t="s">
        <v>529</v>
      </c>
      <c r="B15" s="96"/>
      <c r="C15" s="96"/>
      <c r="D15" s="96"/>
      <c r="E15" s="96"/>
    </row>
    <row r="16" spans="1:5" ht="10.050000000000001" customHeight="1" x14ac:dyDescent="0.3"/>
    <row r="19" spans="1:5" ht="22.05" customHeight="1" x14ac:dyDescent="0.3">
      <c r="A19" s="114" t="s">
        <v>530</v>
      </c>
      <c r="B19" s="96"/>
      <c r="C19" s="96"/>
      <c r="D19" s="96"/>
      <c r="E19" s="96"/>
    </row>
    <row r="20" spans="1:5" ht="22.05" customHeight="1" x14ac:dyDescent="0.3">
      <c r="A20" s="125" t="s">
        <v>531</v>
      </c>
      <c r="B20" s="96"/>
      <c r="C20" s="96"/>
      <c r="D20" s="96"/>
      <c r="E20" s="96"/>
    </row>
    <row r="21" spans="1:5" ht="18" customHeight="1" x14ac:dyDescent="0.3">
      <c r="A21" s="126" t="s">
        <v>532</v>
      </c>
      <c r="B21" s="96"/>
      <c r="C21" s="96"/>
      <c r="D21" s="96"/>
      <c r="E21" s="96"/>
    </row>
    <row r="22" spans="1:5" ht="43.95" customHeight="1" x14ac:dyDescent="0.3">
      <c r="A22" s="123" t="s">
        <v>533</v>
      </c>
      <c r="B22" s="96"/>
      <c r="C22" s="96"/>
      <c r="D22" s="96"/>
      <c r="E22" s="96"/>
    </row>
    <row r="23" spans="1:5" ht="28.05" customHeight="1" x14ac:dyDescent="0.3">
      <c r="A23" s="124" t="s">
        <v>534</v>
      </c>
      <c r="B23" s="96"/>
      <c r="C23" s="96"/>
      <c r="D23" s="96"/>
      <c r="E23" s="96"/>
    </row>
    <row r="24" spans="1:5" ht="10.050000000000001" customHeight="1" x14ac:dyDescent="0.3"/>
    <row r="27" spans="1:5" ht="22.05" customHeight="1" x14ac:dyDescent="0.3">
      <c r="A27" s="114" t="s">
        <v>535</v>
      </c>
      <c r="B27" s="96"/>
      <c r="C27" s="96"/>
      <c r="D27" s="96"/>
      <c r="E27" s="96"/>
    </row>
    <row r="28" spans="1:5" ht="22.05" customHeight="1" x14ac:dyDescent="0.3">
      <c r="A28" s="125" t="s">
        <v>536</v>
      </c>
      <c r="B28" s="96"/>
      <c r="C28" s="96"/>
      <c r="D28" s="96"/>
      <c r="E28" s="96"/>
    </row>
    <row r="29" spans="1:5" ht="18" customHeight="1" x14ac:dyDescent="0.3">
      <c r="A29" s="126" t="s">
        <v>537</v>
      </c>
      <c r="B29" s="96"/>
      <c r="C29" s="96"/>
      <c r="D29" s="96"/>
      <c r="E29" s="96"/>
    </row>
    <row r="30" spans="1:5" ht="43.95" customHeight="1" x14ac:dyDescent="0.3">
      <c r="A30" s="123" t="s">
        <v>538</v>
      </c>
      <c r="B30" s="96"/>
      <c r="C30" s="96"/>
      <c r="D30" s="96"/>
      <c r="E30" s="96"/>
    </row>
    <row r="31" spans="1:5" ht="28.05" customHeight="1" x14ac:dyDescent="0.3">
      <c r="A31" s="124" t="s">
        <v>539</v>
      </c>
      <c r="B31" s="96"/>
      <c r="C31" s="96"/>
      <c r="D31" s="96"/>
      <c r="E31" s="96"/>
    </row>
    <row r="32" spans="1:5" ht="10.050000000000001" customHeight="1" x14ac:dyDescent="0.3"/>
    <row r="35" spans="1:5" ht="22.05" customHeight="1" x14ac:dyDescent="0.3">
      <c r="A35" s="114" t="s">
        <v>540</v>
      </c>
      <c r="B35" s="96"/>
      <c r="C35" s="96"/>
      <c r="D35" s="96"/>
      <c r="E35" s="96"/>
    </row>
    <row r="36" spans="1:5" ht="22.05" customHeight="1" x14ac:dyDescent="0.3">
      <c r="A36" s="125" t="s">
        <v>541</v>
      </c>
      <c r="B36" s="96"/>
      <c r="C36" s="96"/>
      <c r="D36" s="96"/>
      <c r="E36" s="96"/>
    </row>
    <row r="37" spans="1:5" ht="18" customHeight="1" x14ac:dyDescent="0.3">
      <c r="A37" s="126" t="s">
        <v>542</v>
      </c>
      <c r="B37" s="96"/>
      <c r="C37" s="96"/>
      <c r="D37" s="96"/>
      <c r="E37" s="96"/>
    </row>
    <row r="38" spans="1:5" ht="43.95" customHeight="1" x14ac:dyDescent="0.3">
      <c r="A38" s="123" t="s">
        <v>543</v>
      </c>
      <c r="B38" s="96"/>
      <c r="C38" s="96"/>
      <c r="D38" s="96"/>
      <c r="E38" s="96"/>
    </row>
    <row r="39" spans="1:5" ht="28.05" customHeight="1" x14ac:dyDescent="0.3">
      <c r="A39" s="124" t="s">
        <v>544</v>
      </c>
      <c r="B39" s="96"/>
      <c r="C39" s="96"/>
      <c r="D39" s="96"/>
      <c r="E39" s="96"/>
    </row>
    <row r="40" spans="1:5" ht="10.050000000000001" customHeight="1" x14ac:dyDescent="0.3"/>
    <row r="43" spans="1:5" ht="22.05" customHeight="1" x14ac:dyDescent="0.3">
      <c r="A43" s="114" t="s">
        <v>545</v>
      </c>
      <c r="B43" s="96"/>
      <c r="C43" s="96"/>
      <c r="D43" s="96"/>
      <c r="E43" s="96"/>
    </row>
    <row r="44" spans="1:5" ht="22.05" customHeight="1" x14ac:dyDescent="0.3">
      <c r="A44" s="125" t="s">
        <v>546</v>
      </c>
      <c r="B44" s="96"/>
      <c r="C44" s="96"/>
      <c r="D44" s="96"/>
      <c r="E44" s="96"/>
    </row>
    <row r="45" spans="1:5" ht="18" customHeight="1" x14ac:dyDescent="0.3">
      <c r="A45" s="126" t="s">
        <v>547</v>
      </c>
      <c r="B45" s="96"/>
      <c r="C45" s="96"/>
      <c r="D45" s="96"/>
      <c r="E45" s="96"/>
    </row>
    <row r="46" spans="1:5" ht="43.95" customHeight="1" x14ac:dyDescent="0.3">
      <c r="A46" s="123" t="s">
        <v>548</v>
      </c>
      <c r="B46" s="96"/>
      <c r="C46" s="96"/>
      <c r="D46" s="96"/>
      <c r="E46" s="96"/>
    </row>
    <row r="47" spans="1:5" ht="28.05" customHeight="1" x14ac:dyDescent="0.3">
      <c r="A47" s="124" t="s">
        <v>549</v>
      </c>
      <c r="B47" s="96"/>
      <c r="C47" s="96"/>
      <c r="D47" s="96"/>
      <c r="E47" s="96"/>
    </row>
    <row r="48" spans="1:5" ht="10.050000000000001" customHeight="1" x14ac:dyDescent="0.3"/>
    <row r="51" spans="1:5" ht="22.05" customHeight="1" x14ac:dyDescent="0.3">
      <c r="A51" s="114" t="s">
        <v>550</v>
      </c>
      <c r="B51" s="96"/>
      <c r="C51" s="96"/>
      <c r="D51" s="96"/>
      <c r="E51" s="96"/>
    </row>
    <row r="52" spans="1:5" ht="22.05" customHeight="1" x14ac:dyDescent="0.3">
      <c r="A52" s="125" t="s">
        <v>551</v>
      </c>
      <c r="B52" s="96"/>
      <c r="C52" s="96"/>
      <c r="D52" s="96"/>
      <c r="E52" s="96"/>
    </row>
    <row r="53" spans="1:5" ht="18" customHeight="1" x14ac:dyDescent="0.3">
      <c r="A53" s="126" t="s">
        <v>552</v>
      </c>
      <c r="B53" s="96"/>
      <c r="C53" s="96"/>
      <c r="D53" s="96"/>
      <c r="E53" s="96"/>
    </row>
    <row r="54" spans="1:5" ht="43.95" customHeight="1" x14ac:dyDescent="0.3">
      <c r="A54" s="123" t="s">
        <v>553</v>
      </c>
      <c r="B54" s="96"/>
      <c r="C54" s="96"/>
      <c r="D54" s="96"/>
      <c r="E54" s="96"/>
    </row>
    <row r="55" spans="1:5" ht="28.05" customHeight="1" x14ac:dyDescent="0.3">
      <c r="A55" s="124" t="s">
        <v>554</v>
      </c>
      <c r="B55" s="96"/>
      <c r="C55" s="96"/>
      <c r="D55" s="96"/>
      <c r="E55" s="96"/>
    </row>
    <row r="56" spans="1:5" ht="10.050000000000001" customHeight="1" x14ac:dyDescent="0.3"/>
    <row r="59" spans="1:5" ht="22.05" customHeight="1" x14ac:dyDescent="0.3">
      <c r="A59" s="114" t="s">
        <v>555</v>
      </c>
      <c r="B59" s="96"/>
      <c r="C59" s="96"/>
      <c r="D59" s="96"/>
      <c r="E59" s="96"/>
    </row>
    <row r="60" spans="1:5" ht="22.05" customHeight="1" x14ac:dyDescent="0.3">
      <c r="A60" s="125" t="s">
        <v>556</v>
      </c>
      <c r="B60" s="96"/>
      <c r="C60" s="96"/>
      <c r="D60" s="96"/>
      <c r="E60" s="96"/>
    </row>
    <row r="61" spans="1:5" ht="18" customHeight="1" x14ac:dyDescent="0.3">
      <c r="A61" s="126" t="s">
        <v>557</v>
      </c>
      <c r="B61" s="96"/>
      <c r="C61" s="96"/>
      <c r="D61" s="96"/>
      <c r="E61" s="96"/>
    </row>
    <row r="62" spans="1:5" ht="43.95" customHeight="1" x14ac:dyDescent="0.3">
      <c r="A62" s="123" t="s">
        <v>558</v>
      </c>
      <c r="B62" s="96"/>
      <c r="C62" s="96"/>
      <c r="D62" s="96"/>
      <c r="E62" s="96"/>
    </row>
    <row r="63" spans="1:5" ht="28.05" customHeight="1" x14ac:dyDescent="0.3">
      <c r="A63" s="124" t="s">
        <v>559</v>
      </c>
      <c r="B63" s="96"/>
      <c r="C63" s="96"/>
      <c r="D63" s="96"/>
      <c r="E63" s="96"/>
    </row>
    <row r="64" spans="1:5" ht="10.050000000000001" customHeight="1" x14ac:dyDescent="0.3"/>
  </sheetData>
  <mergeCells count="41">
    <mergeCell ref="A62:E62"/>
    <mergeCell ref="A52:E52"/>
    <mergeCell ref="A28:E28"/>
    <mergeCell ref="A19:E19"/>
    <mergeCell ref="A63:E63"/>
    <mergeCell ref="A31:E31"/>
    <mergeCell ref="A44:E44"/>
    <mergeCell ref="A61:E61"/>
    <mergeCell ref="A6:E6"/>
    <mergeCell ref="A54:E54"/>
    <mergeCell ref="A7:E7"/>
    <mergeCell ref="A37:E37"/>
    <mergeCell ref="A46:E46"/>
    <mergeCell ref="A27:E27"/>
    <mergeCell ref="A21:E21"/>
    <mergeCell ref="A55:E55"/>
    <mergeCell ref="A12:E12"/>
    <mergeCell ref="A47:E47"/>
    <mergeCell ref="A23:E23"/>
    <mergeCell ref="A14:E14"/>
    <mergeCell ref="A22:E22"/>
    <mergeCell ref="A53:E53"/>
    <mergeCell ref="A29:E29"/>
    <mergeCell ref="A11:E11"/>
    <mergeCell ref="A51:E51"/>
    <mergeCell ref="A1:E1"/>
    <mergeCell ref="A45:E45"/>
    <mergeCell ref="A36:E36"/>
    <mergeCell ref="A3:E3"/>
    <mergeCell ref="A5:E5"/>
    <mergeCell ref="A4:E4"/>
    <mergeCell ref="A35:E35"/>
    <mergeCell ref="A20:E20"/>
    <mergeCell ref="A38:E38"/>
    <mergeCell ref="A43:E43"/>
    <mergeCell ref="A13:E13"/>
    <mergeCell ref="A30:E30"/>
    <mergeCell ref="A39:E39"/>
    <mergeCell ref="A59:E59"/>
    <mergeCell ref="A15:E15"/>
    <mergeCell ref="A60:E6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7AE60"/>
  </sheetPr>
  <dimension ref="A1:F34"/>
  <sheetViews>
    <sheetView showGridLines="0" topLeftCell="A21" workbookViewId="0">
      <selection activeCell="B27" sqref="B27"/>
    </sheetView>
  </sheetViews>
  <sheetFormatPr defaultRowHeight="14.4" x14ac:dyDescent="0.3"/>
  <cols>
    <col min="1" max="1" width="32.5546875" bestFit="1" customWidth="1"/>
    <col min="2" max="2" width="23" bestFit="1" customWidth="1"/>
    <col min="3" max="3" width="36.44140625" bestFit="1" customWidth="1"/>
    <col min="4" max="4" width="43.6640625" bestFit="1" customWidth="1"/>
    <col min="5" max="5" width="18.33203125" bestFit="1" customWidth="1"/>
    <col min="6" max="6" width="55.77734375" bestFit="1" customWidth="1"/>
  </cols>
  <sheetData>
    <row r="1" spans="1:6" ht="28.05" customHeight="1" x14ac:dyDescent="0.3">
      <c r="A1" s="118" t="s">
        <v>560</v>
      </c>
      <c r="B1" s="96"/>
      <c r="C1" s="96"/>
      <c r="D1" s="96"/>
      <c r="E1" s="96"/>
      <c r="F1" s="96"/>
    </row>
    <row r="3" spans="1:6" ht="22.05" customHeight="1" x14ac:dyDescent="0.3">
      <c r="A3" s="114" t="s">
        <v>561</v>
      </c>
      <c r="B3" s="96"/>
      <c r="C3" s="96"/>
      <c r="D3" s="96"/>
      <c r="E3" s="96"/>
      <c r="F3" s="96"/>
    </row>
    <row r="4" spans="1:6" ht="18" customHeight="1" x14ac:dyDescent="0.3">
      <c r="A4" s="112" t="s">
        <v>562</v>
      </c>
      <c r="B4" s="96"/>
      <c r="C4" s="96"/>
      <c r="D4" s="96"/>
      <c r="E4" s="96"/>
      <c r="F4" s="96"/>
    </row>
    <row r="5" spans="1:6" ht="52.8" x14ac:dyDescent="0.3">
      <c r="A5" s="17" t="s">
        <v>487</v>
      </c>
      <c r="B5" s="17" t="s">
        <v>173</v>
      </c>
      <c r="C5" s="17" t="s">
        <v>563</v>
      </c>
      <c r="D5" s="17" t="s">
        <v>564</v>
      </c>
      <c r="E5" s="17" t="s">
        <v>565</v>
      </c>
      <c r="F5" s="17" t="s">
        <v>566</v>
      </c>
    </row>
    <row r="6" spans="1:6" ht="22.05" customHeight="1" x14ac:dyDescent="0.3">
      <c r="A6" s="79">
        <v>1</v>
      </c>
      <c r="B6" s="64" t="s">
        <v>567</v>
      </c>
      <c r="C6" s="65" t="s">
        <v>568</v>
      </c>
      <c r="D6" s="65" t="s">
        <v>568</v>
      </c>
      <c r="E6" s="65" t="s">
        <v>569</v>
      </c>
      <c r="F6" s="66" t="s">
        <v>570</v>
      </c>
    </row>
    <row r="7" spans="1:6" ht="22.05" customHeight="1" x14ac:dyDescent="0.3">
      <c r="A7" s="80">
        <v>2</v>
      </c>
      <c r="B7" s="57" t="s">
        <v>571</v>
      </c>
      <c r="C7" s="46" t="s">
        <v>568</v>
      </c>
      <c r="D7" s="46" t="s">
        <v>572</v>
      </c>
      <c r="E7" s="46" t="s">
        <v>573</v>
      </c>
      <c r="F7" s="81" t="s">
        <v>574</v>
      </c>
    </row>
    <row r="8" spans="1:6" ht="22.05" customHeight="1" x14ac:dyDescent="0.3">
      <c r="A8" s="82">
        <v>3</v>
      </c>
      <c r="B8" s="83" t="s">
        <v>575</v>
      </c>
      <c r="C8" s="84" t="s">
        <v>576</v>
      </c>
      <c r="D8" s="84" t="s">
        <v>577</v>
      </c>
      <c r="E8" s="84" t="s">
        <v>578</v>
      </c>
      <c r="F8" s="85" t="s">
        <v>579</v>
      </c>
    </row>
    <row r="9" spans="1:6" ht="22.05" customHeight="1" x14ac:dyDescent="0.3">
      <c r="A9" s="80">
        <v>4</v>
      </c>
      <c r="B9" s="57" t="s">
        <v>580</v>
      </c>
      <c r="C9" s="46" t="s">
        <v>581</v>
      </c>
      <c r="D9" s="46" t="s">
        <v>582</v>
      </c>
      <c r="E9" s="46" t="s">
        <v>573</v>
      </c>
      <c r="F9" s="81" t="s">
        <v>583</v>
      </c>
    </row>
    <row r="10" spans="1:6" ht="22.05" customHeight="1" x14ac:dyDescent="0.3">
      <c r="A10" s="79">
        <v>5</v>
      </c>
      <c r="B10" s="64" t="s">
        <v>584</v>
      </c>
      <c r="C10" s="65" t="s">
        <v>585</v>
      </c>
      <c r="D10" s="65" t="s">
        <v>586</v>
      </c>
      <c r="E10" s="65" t="s">
        <v>569</v>
      </c>
      <c r="F10" s="66" t="s">
        <v>587</v>
      </c>
    </row>
    <row r="11" spans="1:6" ht="22.05" customHeight="1" x14ac:dyDescent="0.3">
      <c r="A11" s="86">
        <v>6</v>
      </c>
      <c r="B11" s="56" t="s">
        <v>588</v>
      </c>
      <c r="C11" s="43" t="s">
        <v>589</v>
      </c>
      <c r="D11" s="43" t="s">
        <v>590</v>
      </c>
      <c r="E11" s="43" t="s">
        <v>591</v>
      </c>
      <c r="F11" s="59" t="s">
        <v>592</v>
      </c>
    </row>
    <row r="12" spans="1:6" ht="22.05" customHeight="1" x14ac:dyDescent="0.3">
      <c r="A12" s="87">
        <v>7</v>
      </c>
      <c r="B12" s="55" t="s">
        <v>593</v>
      </c>
      <c r="C12" s="88" t="s">
        <v>594</v>
      </c>
      <c r="D12" s="88" t="s">
        <v>339</v>
      </c>
      <c r="E12" s="88" t="s">
        <v>595</v>
      </c>
      <c r="F12" s="89" t="s">
        <v>596</v>
      </c>
    </row>
    <row r="13" spans="1:6" ht="22.05" customHeight="1" x14ac:dyDescent="0.3">
      <c r="A13" s="90">
        <v>8</v>
      </c>
      <c r="B13" s="36" t="s">
        <v>597</v>
      </c>
      <c r="C13" s="35" t="s">
        <v>598</v>
      </c>
      <c r="D13" s="35" t="s">
        <v>599</v>
      </c>
      <c r="E13" s="35" t="s">
        <v>600</v>
      </c>
      <c r="F13" s="19" t="s">
        <v>601</v>
      </c>
    </row>
    <row r="14" spans="1:6" ht="22.05" customHeight="1" x14ac:dyDescent="0.3">
      <c r="A14" s="79">
        <v>9</v>
      </c>
      <c r="B14" s="64" t="s">
        <v>602</v>
      </c>
      <c r="C14" s="65" t="s">
        <v>603</v>
      </c>
      <c r="D14" s="65" t="s">
        <v>604</v>
      </c>
      <c r="E14" s="65" t="s">
        <v>569</v>
      </c>
      <c r="F14" s="66" t="s">
        <v>605</v>
      </c>
    </row>
    <row r="15" spans="1:6" ht="22.05" customHeight="1" x14ac:dyDescent="0.3">
      <c r="A15" s="79">
        <v>10</v>
      </c>
      <c r="B15" s="64" t="s">
        <v>606</v>
      </c>
      <c r="C15" s="65" t="s">
        <v>607</v>
      </c>
      <c r="D15" s="65" t="s">
        <v>608</v>
      </c>
      <c r="E15" s="65" t="s">
        <v>569</v>
      </c>
      <c r="F15" s="66" t="s">
        <v>609</v>
      </c>
    </row>
    <row r="17" spans="1:6" ht="22.05" customHeight="1" x14ac:dyDescent="0.3">
      <c r="A17" s="114" t="s">
        <v>610</v>
      </c>
      <c r="B17" s="96"/>
      <c r="C17" s="96"/>
      <c r="D17" s="96"/>
      <c r="E17" s="96"/>
      <c r="F17" s="96"/>
    </row>
    <row r="18" spans="1:6" ht="52.8" x14ac:dyDescent="0.3">
      <c r="A18" s="17" t="s">
        <v>611</v>
      </c>
      <c r="B18" s="17" t="s">
        <v>612</v>
      </c>
      <c r="C18" s="17" t="s">
        <v>613</v>
      </c>
      <c r="D18" s="17" t="s">
        <v>614</v>
      </c>
      <c r="E18" s="17" t="s">
        <v>615</v>
      </c>
    </row>
    <row r="19" spans="1:6" ht="40.049999999999997" customHeight="1" x14ac:dyDescent="0.3">
      <c r="A19" s="137" t="s">
        <v>616</v>
      </c>
      <c r="B19" s="138" t="s">
        <v>617</v>
      </c>
      <c r="C19" s="138" t="s">
        <v>618</v>
      </c>
      <c r="D19" s="138" t="s">
        <v>619</v>
      </c>
      <c r="E19" s="138" t="s">
        <v>620</v>
      </c>
    </row>
    <row r="20" spans="1:6" ht="40.049999999999997" customHeight="1" x14ac:dyDescent="0.3">
      <c r="A20" s="134" t="s">
        <v>616</v>
      </c>
      <c r="B20" s="135" t="s">
        <v>621</v>
      </c>
      <c r="C20" s="135" t="s">
        <v>622</v>
      </c>
      <c r="D20" s="135" t="s">
        <v>623</v>
      </c>
      <c r="E20" s="135" t="s">
        <v>624</v>
      </c>
    </row>
    <row r="21" spans="1:6" ht="40.049999999999997" customHeight="1" x14ac:dyDescent="0.3">
      <c r="A21" s="142" t="s">
        <v>625</v>
      </c>
      <c r="B21" s="143" t="s">
        <v>279</v>
      </c>
      <c r="C21" s="143" t="s">
        <v>626</v>
      </c>
      <c r="D21" s="143" t="s">
        <v>627</v>
      </c>
      <c r="E21" s="143" t="s">
        <v>628</v>
      </c>
    </row>
    <row r="22" spans="1:6" ht="40.049999999999997" customHeight="1" x14ac:dyDescent="0.3">
      <c r="A22" s="131" t="s">
        <v>629</v>
      </c>
      <c r="B22" s="132" t="s">
        <v>630</v>
      </c>
      <c r="C22" s="132" t="s">
        <v>631</v>
      </c>
      <c r="D22" s="132" t="s">
        <v>632</v>
      </c>
      <c r="E22" s="132" t="s">
        <v>633</v>
      </c>
    </row>
    <row r="23" spans="1:6" ht="40.049999999999997" customHeight="1" x14ac:dyDescent="0.3">
      <c r="A23" s="140" t="s">
        <v>634</v>
      </c>
      <c r="B23" s="141" t="s">
        <v>635</v>
      </c>
      <c r="C23" s="141" t="s">
        <v>636</v>
      </c>
      <c r="D23" s="141" t="s">
        <v>637</v>
      </c>
      <c r="E23" s="141" t="s">
        <v>638</v>
      </c>
    </row>
    <row r="25" spans="1:6" ht="22.05" customHeight="1" x14ac:dyDescent="0.3">
      <c r="A25" s="114" t="s">
        <v>639</v>
      </c>
      <c r="B25" s="96"/>
      <c r="C25" s="96"/>
      <c r="D25" s="96"/>
      <c r="E25" s="96"/>
      <c r="F25" s="96"/>
    </row>
    <row r="26" spans="1:6" ht="66" x14ac:dyDescent="0.3">
      <c r="A26" s="17" t="s">
        <v>640</v>
      </c>
      <c r="B26" s="17" t="s">
        <v>264</v>
      </c>
      <c r="C26" s="17" t="s">
        <v>641</v>
      </c>
      <c r="D26" s="17" t="s">
        <v>642</v>
      </c>
    </row>
    <row r="27" spans="1:6" ht="24" customHeight="1" x14ac:dyDescent="0.3">
      <c r="A27" s="23" t="s">
        <v>643</v>
      </c>
      <c r="B27" s="91" t="s">
        <v>644</v>
      </c>
      <c r="C27" s="23" t="s">
        <v>645</v>
      </c>
      <c r="D27" s="23" t="s">
        <v>646</v>
      </c>
    </row>
    <row r="28" spans="1:6" ht="24" customHeight="1" x14ac:dyDescent="0.3">
      <c r="A28" s="19" t="s">
        <v>647</v>
      </c>
      <c r="B28" s="92" t="s">
        <v>648</v>
      </c>
      <c r="C28" s="19" t="s">
        <v>649</v>
      </c>
      <c r="D28" s="19" t="s">
        <v>650</v>
      </c>
    </row>
    <row r="29" spans="1:6" ht="24" customHeight="1" x14ac:dyDescent="0.3">
      <c r="A29" s="23" t="s">
        <v>651</v>
      </c>
      <c r="B29" s="91" t="s">
        <v>652</v>
      </c>
      <c r="C29" s="23" t="s">
        <v>653</v>
      </c>
      <c r="D29" s="23" t="s">
        <v>654</v>
      </c>
    </row>
    <row r="30" spans="1:6" ht="24" customHeight="1" x14ac:dyDescent="0.3">
      <c r="A30" s="19" t="s">
        <v>655</v>
      </c>
      <c r="B30" s="92" t="s">
        <v>656</v>
      </c>
      <c r="C30" s="19" t="s">
        <v>657</v>
      </c>
      <c r="D30" s="19" t="s">
        <v>658</v>
      </c>
    </row>
    <row r="31" spans="1:6" ht="24" customHeight="1" x14ac:dyDescent="0.3">
      <c r="A31" s="23" t="s">
        <v>659</v>
      </c>
      <c r="B31" s="91" t="s">
        <v>660</v>
      </c>
      <c r="C31" s="23" t="s">
        <v>661</v>
      </c>
      <c r="D31" s="23" t="s">
        <v>662</v>
      </c>
    </row>
    <row r="32" spans="1:6" ht="24" customHeight="1" x14ac:dyDescent="0.3">
      <c r="A32" s="19" t="s">
        <v>663</v>
      </c>
      <c r="B32" s="92" t="s">
        <v>664</v>
      </c>
      <c r="C32" s="19" t="s">
        <v>665</v>
      </c>
      <c r="D32" s="19" t="s">
        <v>666</v>
      </c>
    </row>
    <row r="33" spans="1:4" ht="24" customHeight="1" x14ac:dyDescent="0.3">
      <c r="A33" s="23" t="s">
        <v>667</v>
      </c>
      <c r="B33" s="91" t="s">
        <v>668</v>
      </c>
      <c r="C33" s="23" t="s">
        <v>669</v>
      </c>
      <c r="D33" s="23" t="s">
        <v>670</v>
      </c>
    </row>
    <row r="34" spans="1:4" ht="24" customHeight="1" x14ac:dyDescent="0.3">
      <c r="A34" s="93" t="s">
        <v>671</v>
      </c>
      <c r="B34" s="94" t="s">
        <v>672</v>
      </c>
      <c r="C34" s="93" t="s">
        <v>673</v>
      </c>
      <c r="D34" s="93" t="s">
        <v>674</v>
      </c>
    </row>
  </sheetData>
  <mergeCells count="5">
    <mergeCell ref="A1:F1"/>
    <mergeCell ref="A17:F17"/>
    <mergeCell ref="A4:F4"/>
    <mergeCell ref="A3:F3"/>
    <mergeCell ref="A25:F25"/>
  </mergeCells>
  <pageMargins left="0.75" right="0.75" top="1" bottom="1" header="0.5" footer="0.5"/>
  <ignoredErrors>
    <ignoredError sqref="C6:D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🏠 Cover</vt:lpstr>
      <vt:lpstr>📋 Raw Data</vt:lpstr>
      <vt:lpstr>🔢 Preprocessing</vt:lpstr>
      <vt:lpstr>✂️ Train-Test Split</vt:lpstr>
      <vt:lpstr>📊 Summary Stats</vt:lpstr>
      <vt:lpstr>🔍 Churn Analysis</vt:lpstr>
      <vt:lpstr>🏆 Model Results</vt:lpstr>
      <vt:lpstr>⚙️ Hyperparameters</vt:lpstr>
      <vt:lpstr>📖 Formulas Used</vt:lpstr>
      <vt:lpstr>💡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NITISHA</cp:lastModifiedBy>
  <dcterms:created xsi:type="dcterms:W3CDTF">2026-03-04T11:57:06Z</dcterms:created>
  <dcterms:modified xsi:type="dcterms:W3CDTF">2026-03-04T18:37:11Z</dcterms:modified>
</cp:coreProperties>
</file>